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Isyad\Downloads\Learning_Data_Analyst\Project\"/>
    </mc:Choice>
  </mc:AlternateContent>
  <xr:revisionPtr revIDLastSave="0" documentId="13_ncr:1_{64C29637-E966-4C5B-97F1-1A4E67D42741}" xr6:coauthVersionLast="47" xr6:coauthVersionMax="47" xr10:uidLastSave="{00000000-0000-0000-0000-000000000000}"/>
  <bookViews>
    <workbookView xWindow="-110" yWindow="-110" windowWidth="19420" windowHeight="11020" activeTab="5" xr2:uid="{D1D757C3-E503-4527-8383-9DC82B779F2C}"/>
  </bookViews>
  <sheets>
    <sheet name="Dahsboard" sheetId="7" r:id="rId1"/>
    <sheet name="Master Kode" sheetId="2" r:id="rId2"/>
    <sheet name="Purchase Order" sheetId="3" r:id="rId3"/>
    <sheet name="Delivery Order" sheetId="4" r:id="rId4"/>
    <sheet name="Invoice" sheetId="8" r:id="rId5"/>
    <sheet name="Pivot Table" sheetId="6" r:id="rId6"/>
  </sheets>
  <definedNames>
    <definedName name="_xlnm._FilterDatabase" localSheetId="4" hidden="1">Invoice!$B$2:$L$313</definedName>
    <definedName name="_xlnm._FilterDatabase" localSheetId="2" hidden="1">'Purchase Order'!$B$2:$AD$2</definedName>
  </definedNames>
  <calcPr calcId="191029"/>
  <pivotCaches>
    <pivotCache cacheId="0" r:id="rId7"/>
    <pivotCache cacheId="1" r:id="rId8"/>
    <pivotCache cacheId="27" r:id="rId9"/>
    <pivotCache cacheId="10" r:id="rId10"/>
    <pivotCache cacheId="19" r:id="rId11"/>
    <pivotCache cacheId="29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13" i="8" l="1"/>
  <c r="L313" i="8" s="1"/>
  <c r="H313" i="8"/>
  <c r="C313" i="8"/>
  <c r="K312" i="8"/>
  <c r="L312" i="8" s="1"/>
  <c r="H312" i="8"/>
  <c r="C312" i="8"/>
  <c r="K311" i="8"/>
  <c r="L311" i="8" s="1"/>
  <c r="H311" i="8"/>
  <c r="C311" i="8"/>
  <c r="K310" i="8"/>
  <c r="L310" i="8" s="1"/>
  <c r="H310" i="8"/>
  <c r="C310" i="8"/>
  <c r="K309" i="8"/>
  <c r="L309" i="8" s="1"/>
  <c r="H309" i="8"/>
  <c r="C309" i="8"/>
  <c r="K308" i="8"/>
  <c r="L308" i="8" s="1"/>
  <c r="H308" i="8"/>
  <c r="C308" i="8"/>
  <c r="K307" i="8"/>
  <c r="L307" i="8" s="1"/>
  <c r="H307" i="8"/>
  <c r="C307" i="8"/>
  <c r="K306" i="8"/>
  <c r="L306" i="8" s="1"/>
  <c r="H306" i="8"/>
  <c r="C306" i="8"/>
  <c r="K305" i="8"/>
  <c r="L305" i="8" s="1"/>
  <c r="H305" i="8"/>
  <c r="C305" i="8"/>
  <c r="K304" i="8"/>
  <c r="L304" i="8" s="1"/>
  <c r="H304" i="8"/>
  <c r="C304" i="8"/>
  <c r="K303" i="8"/>
  <c r="L303" i="8" s="1"/>
  <c r="H303" i="8"/>
  <c r="C303" i="8"/>
  <c r="K302" i="8"/>
  <c r="L302" i="8" s="1"/>
  <c r="H302" i="8"/>
  <c r="C302" i="8"/>
  <c r="K301" i="8"/>
  <c r="L301" i="8" s="1"/>
  <c r="H301" i="8"/>
  <c r="C301" i="8"/>
  <c r="K300" i="8"/>
  <c r="L300" i="8" s="1"/>
  <c r="H300" i="8"/>
  <c r="C300" i="8"/>
  <c r="K299" i="8"/>
  <c r="L299" i="8" s="1"/>
  <c r="H299" i="8"/>
  <c r="C299" i="8"/>
  <c r="K298" i="8"/>
  <c r="L298" i="8" s="1"/>
  <c r="H298" i="8"/>
  <c r="C298" i="8"/>
  <c r="K297" i="8"/>
  <c r="L297" i="8" s="1"/>
  <c r="H297" i="8"/>
  <c r="C297" i="8"/>
  <c r="K296" i="8"/>
  <c r="L296" i="8" s="1"/>
  <c r="H296" i="8"/>
  <c r="C296" i="8"/>
  <c r="K295" i="8"/>
  <c r="L295" i="8" s="1"/>
  <c r="H295" i="8"/>
  <c r="C295" i="8"/>
  <c r="K294" i="8"/>
  <c r="L294" i="8" s="1"/>
  <c r="H294" i="8"/>
  <c r="C294" i="8"/>
  <c r="K293" i="8"/>
  <c r="L293" i="8" s="1"/>
  <c r="H293" i="8"/>
  <c r="C293" i="8"/>
  <c r="K292" i="8"/>
  <c r="L292" i="8" s="1"/>
  <c r="H292" i="8"/>
  <c r="C292" i="8"/>
  <c r="K291" i="8"/>
  <c r="L291" i="8" s="1"/>
  <c r="H291" i="8"/>
  <c r="C291" i="8"/>
  <c r="K290" i="8"/>
  <c r="L290" i="8" s="1"/>
  <c r="H290" i="8"/>
  <c r="C290" i="8"/>
  <c r="K289" i="8"/>
  <c r="L289" i="8" s="1"/>
  <c r="H289" i="8"/>
  <c r="C289" i="8"/>
  <c r="K288" i="8"/>
  <c r="L288" i="8" s="1"/>
  <c r="H288" i="8"/>
  <c r="C288" i="8"/>
  <c r="K287" i="8"/>
  <c r="L287" i="8" s="1"/>
  <c r="H287" i="8"/>
  <c r="C287" i="8"/>
  <c r="K286" i="8"/>
  <c r="L286" i="8" s="1"/>
  <c r="H286" i="8"/>
  <c r="C286" i="8"/>
  <c r="K285" i="8"/>
  <c r="L285" i="8" s="1"/>
  <c r="H285" i="8"/>
  <c r="C285" i="8"/>
  <c r="K284" i="8"/>
  <c r="L284" i="8" s="1"/>
  <c r="H284" i="8"/>
  <c r="C284" i="8"/>
  <c r="K283" i="8"/>
  <c r="L283" i="8" s="1"/>
  <c r="H283" i="8"/>
  <c r="C283" i="8"/>
  <c r="K282" i="8"/>
  <c r="L282" i="8" s="1"/>
  <c r="H282" i="8"/>
  <c r="C282" i="8"/>
  <c r="K281" i="8"/>
  <c r="L281" i="8" s="1"/>
  <c r="H281" i="8"/>
  <c r="C281" i="8"/>
  <c r="K280" i="8"/>
  <c r="L280" i="8" s="1"/>
  <c r="H280" i="8"/>
  <c r="C280" i="8"/>
  <c r="K279" i="8"/>
  <c r="L279" i="8" s="1"/>
  <c r="H279" i="8"/>
  <c r="C279" i="8"/>
  <c r="K278" i="8"/>
  <c r="L278" i="8" s="1"/>
  <c r="H278" i="8"/>
  <c r="C278" i="8"/>
  <c r="K277" i="8"/>
  <c r="L277" i="8" s="1"/>
  <c r="H277" i="8"/>
  <c r="C277" i="8"/>
  <c r="K276" i="8"/>
  <c r="L276" i="8" s="1"/>
  <c r="H276" i="8"/>
  <c r="C276" i="8"/>
  <c r="K275" i="8"/>
  <c r="L275" i="8" s="1"/>
  <c r="H275" i="8"/>
  <c r="C275" i="8"/>
  <c r="K274" i="8"/>
  <c r="L274" i="8" s="1"/>
  <c r="H274" i="8"/>
  <c r="C274" i="8"/>
  <c r="K273" i="8"/>
  <c r="L273" i="8" s="1"/>
  <c r="H273" i="8"/>
  <c r="C273" i="8"/>
  <c r="K272" i="8"/>
  <c r="L272" i="8" s="1"/>
  <c r="H272" i="8"/>
  <c r="C272" i="8"/>
  <c r="K271" i="8"/>
  <c r="L271" i="8" s="1"/>
  <c r="H271" i="8"/>
  <c r="C271" i="8"/>
  <c r="K270" i="8"/>
  <c r="L270" i="8" s="1"/>
  <c r="H270" i="8"/>
  <c r="C270" i="8"/>
  <c r="K269" i="8"/>
  <c r="L269" i="8" s="1"/>
  <c r="H269" i="8"/>
  <c r="C269" i="8"/>
  <c r="K268" i="8"/>
  <c r="L268" i="8" s="1"/>
  <c r="H268" i="8"/>
  <c r="C268" i="8"/>
  <c r="K267" i="8"/>
  <c r="L267" i="8" s="1"/>
  <c r="H267" i="8"/>
  <c r="C267" i="8"/>
  <c r="K266" i="8"/>
  <c r="L266" i="8" s="1"/>
  <c r="H266" i="8"/>
  <c r="C266" i="8"/>
  <c r="K265" i="8"/>
  <c r="L265" i="8" s="1"/>
  <c r="H265" i="8"/>
  <c r="C265" i="8"/>
  <c r="K264" i="8"/>
  <c r="L264" i="8" s="1"/>
  <c r="H264" i="8"/>
  <c r="C264" i="8"/>
  <c r="K263" i="8"/>
  <c r="L263" i="8" s="1"/>
  <c r="H263" i="8"/>
  <c r="C263" i="8"/>
  <c r="K262" i="8"/>
  <c r="L262" i="8" s="1"/>
  <c r="H262" i="8"/>
  <c r="C262" i="8"/>
  <c r="K261" i="8"/>
  <c r="L261" i="8" s="1"/>
  <c r="H261" i="8"/>
  <c r="C261" i="8"/>
  <c r="K260" i="8"/>
  <c r="L260" i="8" s="1"/>
  <c r="H260" i="8"/>
  <c r="C260" i="8"/>
  <c r="K259" i="8"/>
  <c r="L259" i="8" s="1"/>
  <c r="H259" i="8"/>
  <c r="C259" i="8"/>
  <c r="K258" i="8"/>
  <c r="L258" i="8" s="1"/>
  <c r="H258" i="8"/>
  <c r="C258" i="8"/>
  <c r="K257" i="8"/>
  <c r="L257" i="8" s="1"/>
  <c r="H257" i="8"/>
  <c r="C257" i="8"/>
  <c r="K256" i="8"/>
  <c r="L256" i="8" s="1"/>
  <c r="H256" i="8"/>
  <c r="C256" i="8"/>
  <c r="K255" i="8"/>
  <c r="L255" i="8" s="1"/>
  <c r="H255" i="8"/>
  <c r="C255" i="8"/>
  <c r="K254" i="8"/>
  <c r="L254" i="8" s="1"/>
  <c r="H254" i="8"/>
  <c r="C254" i="8"/>
  <c r="K253" i="8"/>
  <c r="L253" i="8" s="1"/>
  <c r="H253" i="8"/>
  <c r="C253" i="8"/>
  <c r="K252" i="8"/>
  <c r="L252" i="8" s="1"/>
  <c r="H252" i="8"/>
  <c r="C252" i="8"/>
  <c r="K251" i="8"/>
  <c r="L251" i="8" s="1"/>
  <c r="H251" i="8"/>
  <c r="C251" i="8"/>
  <c r="K250" i="8"/>
  <c r="L250" i="8" s="1"/>
  <c r="H250" i="8"/>
  <c r="C250" i="8"/>
  <c r="K249" i="8"/>
  <c r="L249" i="8" s="1"/>
  <c r="H249" i="8"/>
  <c r="C249" i="8"/>
  <c r="K248" i="8"/>
  <c r="L248" i="8" s="1"/>
  <c r="H248" i="8"/>
  <c r="C248" i="8"/>
  <c r="K247" i="8"/>
  <c r="L247" i="8" s="1"/>
  <c r="H247" i="8"/>
  <c r="C247" i="8"/>
  <c r="K246" i="8"/>
  <c r="L246" i="8" s="1"/>
  <c r="H246" i="8"/>
  <c r="C246" i="8"/>
  <c r="K245" i="8"/>
  <c r="L245" i="8" s="1"/>
  <c r="H245" i="8"/>
  <c r="C245" i="8"/>
  <c r="K244" i="8"/>
  <c r="L244" i="8" s="1"/>
  <c r="H244" i="8"/>
  <c r="C244" i="8"/>
  <c r="K243" i="8"/>
  <c r="L243" i="8" s="1"/>
  <c r="H243" i="8"/>
  <c r="C243" i="8"/>
  <c r="K242" i="8"/>
  <c r="L242" i="8" s="1"/>
  <c r="H242" i="8"/>
  <c r="C242" i="8"/>
  <c r="K241" i="8"/>
  <c r="L241" i="8" s="1"/>
  <c r="H241" i="8"/>
  <c r="C241" i="8"/>
  <c r="K240" i="8"/>
  <c r="L240" i="8" s="1"/>
  <c r="H240" i="8"/>
  <c r="C240" i="8"/>
  <c r="K239" i="8"/>
  <c r="L239" i="8" s="1"/>
  <c r="H239" i="8"/>
  <c r="C239" i="8"/>
  <c r="K238" i="8"/>
  <c r="L238" i="8" s="1"/>
  <c r="H238" i="8"/>
  <c r="C238" i="8"/>
  <c r="K237" i="8"/>
  <c r="L237" i="8" s="1"/>
  <c r="H237" i="8"/>
  <c r="C237" i="8"/>
  <c r="K236" i="8"/>
  <c r="L236" i="8" s="1"/>
  <c r="H236" i="8"/>
  <c r="C236" i="8"/>
  <c r="K235" i="8"/>
  <c r="L235" i="8" s="1"/>
  <c r="H235" i="8"/>
  <c r="C235" i="8"/>
  <c r="K234" i="8"/>
  <c r="L234" i="8" s="1"/>
  <c r="H234" i="8"/>
  <c r="C234" i="8"/>
  <c r="K233" i="8"/>
  <c r="L233" i="8" s="1"/>
  <c r="H233" i="8"/>
  <c r="C233" i="8"/>
  <c r="K232" i="8"/>
  <c r="L232" i="8" s="1"/>
  <c r="H232" i="8"/>
  <c r="C232" i="8"/>
  <c r="K231" i="8"/>
  <c r="L231" i="8" s="1"/>
  <c r="H231" i="8"/>
  <c r="C231" i="8"/>
  <c r="K230" i="8"/>
  <c r="L230" i="8" s="1"/>
  <c r="H230" i="8"/>
  <c r="C230" i="8"/>
  <c r="K229" i="8"/>
  <c r="L229" i="8" s="1"/>
  <c r="H229" i="8"/>
  <c r="C229" i="8"/>
  <c r="K228" i="8"/>
  <c r="L228" i="8" s="1"/>
  <c r="H228" i="8"/>
  <c r="C228" i="8"/>
  <c r="K227" i="8"/>
  <c r="L227" i="8" s="1"/>
  <c r="H227" i="8"/>
  <c r="C227" i="8"/>
  <c r="K226" i="8"/>
  <c r="L226" i="8" s="1"/>
  <c r="H226" i="8"/>
  <c r="C226" i="8"/>
  <c r="K225" i="8"/>
  <c r="L225" i="8" s="1"/>
  <c r="H225" i="8"/>
  <c r="C225" i="8"/>
  <c r="K224" i="8"/>
  <c r="L224" i="8" s="1"/>
  <c r="H224" i="8"/>
  <c r="C224" i="8"/>
  <c r="K223" i="8"/>
  <c r="L223" i="8" s="1"/>
  <c r="H223" i="8"/>
  <c r="C223" i="8"/>
  <c r="K222" i="8"/>
  <c r="L222" i="8" s="1"/>
  <c r="H222" i="8"/>
  <c r="C222" i="8"/>
  <c r="K221" i="8"/>
  <c r="L221" i="8" s="1"/>
  <c r="H221" i="8"/>
  <c r="C221" i="8"/>
  <c r="K220" i="8"/>
  <c r="L220" i="8" s="1"/>
  <c r="H220" i="8"/>
  <c r="C220" i="8"/>
  <c r="K219" i="8"/>
  <c r="L219" i="8" s="1"/>
  <c r="H219" i="8"/>
  <c r="C219" i="8"/>
  <c r="K218" i="8"/>
  <c r="L218" i="8" s="1"/>
  <c r="H218" i="8"/>
  <c r="C218" i="8"/>
  <c r="K217" i="8"/>
  <c r="L217" i="8" s="1"/>
  <c r="H217" i="8"/>
  <c r="C217" i="8"/>
  <c r="K216" i="8"/>
  <c r="L216" i="8" s="1"/>
  <c r="H216" i="8"/>
  <c r="C216" i="8"/>
  <c r="K215" i="8"/>
  <c r="L215" i="8" s="1"/>
  <c r="H215" i="8"/>
  <c r="C215" i="8"/>
  <c r="K214" i="8"/>
  <c r="L214" i="8" s="1"/>
  <c r="H214" i="8"/>
  <c r="C214" i="8"/>
  <c r="K213" i="8"/>
  <c r="L213" i="8" s="1"/>
  <c r="H213" i="8"/>
  <c r="C213" i="8"/>
  <c r="L212" i="8"/>
  <c r="K212" i="8"/>
  <c r="H212" i="8"/>
  <c r="C212" i="8"/>
  <c r="K211" i="8"/>
  <c r="L211" i="8" s="1"/>
  <c r="H211" i="8"/>
  <c r="C211" i="8"/>
  <c r="L210" i="8"/>
  <c r="K210" i="8"/>
  <c r="H210" i="8"/>
  <c r="C210" i="8"/>
  <c r="K209" i="8"/>
  <c r="L209" i="8" s="1"/>
  <c r="H209" i="8"/>
  <c r="C209" i="8"/>
  <c r="K208" i="8"/>
  <c r="L208" i="8" s="1"/>
  <c r="H208" i="8"/>
  <c r="C208" i="8"/>
  <c r="K207" i="8"/>
  <c r="L207" i="8" s="1"/>
  <c r="H207" i="8"/>
  <c r="C207" i="8"/>
  <c r="K206" i="8"/>
  <c r="L206" i="8" s="1"/>
  <c r="H206" i="8"/>
  <c r="C206" i="8"/>
  <c r="K205" i="8"/>
  <c r="L205" i="8" s="1"/>
  <c r="H205" i="8"/>
  <c r="C205" i="8"/>
  <c r="L204" i="8"/>
  <c r="K204" i="8"/>
  <c r="H204" i="8"/>
  <c r="C204" i="8"/>
  <c r="K203" i="8"/>
  <c r="L203" i="8" s="1"/>
  <c r="H203" i="8"/>
  <c r="C203" i="8"/>
  <c r="K202" i="8"/>
  <c r="L202" i="8" s="1"/>
  <c r="H202" i="8"/>
  <c r="C202" i="8"/>
  <c r="K201" i="8"/>
  <c r="L201" i="8" s="1"/>
  <c r="H201" i="8"/>
  <c r="C201" i="8"/>
  <c r="L200" i="8"/>
  <c r="K200" i="8"/>
  <c r="H200" i="8"/>
  <c r="C200" i="8"/>
  <c r="K199" i="8"/>
  <c r="L199" i="8" s="1"/>
  <c r="H199" i="8"/>
  <c r="C199" i="8"/>
  <c r="K198" i="8"/>
  <c r="L198" i="8" s="1"/>
  <c r="H198" i="8"/>
  <c r="C198" i="8"/>
  <c r="K197" i="8"/>
  <c r="L197" i="8" s="1"/>
  <c r="H197" i="8"/>
  <c r="C197" i="8"/>
  <c r="L196" i="8"/>
  <c r="K196" i="8"/>
  <c r="H196" i="8"/>
  <c r="C196" i="8"/>
  <c r="K195" i="8"/>
  <c r="L195" i="8" s="1"/>
  <c r="H195" i="8"/>
  <c r="C195" i="8"/>
  <c r="L194" i="8"/>
  <c r="K194" i="8"/>
  <c r="H194" i="8"/>
  <c r="C194" i="8"/>
  <c r="K193" i="8"/>
  <c r="L193" i="8" s="1"/>
  <c r="H193" i="8"/>
  <c r="C193" i="8"/>
  <c r="K192" i="8"/>
  <c r="L192" i="8" s="1"/>
  <c r="H192" i="8"/>
  <c r="C192" i="8"/>
  <c r="K191" i="8"/>
  <c r="L191" i="8" s="1"/>
  <c r="H191" i="8"/>
  <c r="C191" i="8"/>
  <c r="K190" i="8"/>
  <c r="L190" i="8" s="1"/>
  <c r="H190" i="8"/>
  <c r="C190" i="8"/>
  <c r="K189" i="8"/>
  <c r="L189" i="8" s="1"/>
  <c r="H189" i="8"/>
  <c r="C189" i="8"/>
  <c r="L188" i="8"/>
  <c r="K188" i="8"/>
  <c r="H188" i="8"/>
  <c r="C188" i="8"/>
  <c r="K187" i="8"/>
  <c r="L187" i="8" s="1"/>
  <c r="H187" i="8"/>
  <c r="C187" i="8"/>
  <c r="K186" i="8"/>
  <c r="L186" i="8" s="1"/>
  <c r="H186" i="8"/>
  <c r="C186" i="8"/>
  <c r="K185" i="8"/>
  <c r="L185" i="8" s="1"/>
  <c r="H185" i="8"/>
  <c r="C185" i="8"/>
  <c r="L184" i="8"/>
  <c r="K184" i="8"/>
  <c r="H184" i="8"/>
  <c r="C184" i="8"/>
  <c r="K183" i="8"/>
  <c r="L183" i="8" s="1"/>
  <c r="H183" i="8"/>
  <c r="C183" i="8"/>
  <c r="K182" i="8"/>
  <c r="L182" i="8" s="1"/>
  <c r="H182" i="8"/>
  <c r="C182" i="8"/>
  <c r="K181" i="8"/>
  <c r="L181" i="8" s="1"/>
  <c r="H181" i="8"/>
  <c r="C181" i="8"/>
  <c r="L180" i="8"/>
  <c r="K180" i="8"/>
  <c r="H180" i="8"/>
  <c r="C180" i="8"/>
  <c r="K179" i="8"/>
  <c r="L179" i="8" s="1"/>
  <c r="H179" i="8"/>
  <c r="C179" i="8"/>
  <c r="K178" i="8"/>
  <c r="L178" i="8" s="1"/>
  <c r="H178" i="8"/>
  <c r="C178" i="8"/>
  <c r="K177" i="8"/>
  <c r="L177" i="8" s="1"/>
  <c r="H177" i="8"/>
  <c r="C177" i="8"/>
  <c r="K176" i="8"/>
  <c r="L176" i="8" s="1"/>
  <c r="H176" i="8"/>
  <c r="C176" i="8"/>
  <c r="K175" i="8"/>
  <c r="L175" i="8" s="1"/>
  <c r="H175" i="8"/>
  <c r="C175" i="8"/>
  <c r="K174" i="8"/>
  <c r="L174" i="8" s="1"/>
  <c r="H174" i="8"/>
  <c r="C174" i="8"/>
  <c r="K173" i="8"/>
  <c r="L173" i="8" s="1"/>
  <c r="H173" i="8"/>
  <c r="C173" i="8"/>
  <c r="L172" i="8"/>
  <c r="K172" i="8"/>
  <c r="H172" i="8"/>
  <c r="C172" i="8"/>
  <c r="K171" i="8"/>
  <c r="L171" i="8" s="1"/>
  <c r="H171" i="8"/>
  <c r="C171" i="8"/>
  <c r="K170" i="8"/>
  <c r="L170" i="8" s="1"/>
  <c r="H170" i="8"/>
  <c r="C170" i="8"/>
  <c r="K169" i="8"/>
  <c r="L169" i="8" s="1"/>
  <c r="H169" i="8"/>
  <c r="C169" i="8"/>
  <c r="L168" i="8"/>
  <c r="K168" i="8"/>
  <c r="H168" i="8"/>
  <c r="C168" i="8"/>
  <c r="K167" i="8"/>
  <c r="L167" i="8" s="1"/>
  <c r="H167" i="8"/>
  <c r="C167" i="8"/>
  <c r="K166" i="8"/>
  <c r="L166" i="8" s="1"/>
  <c r="H166" i="8"/>
  <c r="C166" i="8"/>
  <c r="K165" i="8"/>
  <c r="L165" i="8" s="1"/>
  <c r="H165" i="8"/>
  <c r="C165" i="8"/>
  <c r="L164" i="8"/>
  <c r="K164" i="8"/>
  <c r="H164" i="8"/>
  <c r="C164" i="8"/>
  <c r="K163" i="8"/>
  <c r="L163" i="8" s="1"/>
  <c r="H163" i="8"/>
  <c r="C163" i="8"/>
  <c r="L162" i="8"/>
  <c r="K162" i="8"/>
  <c r="H162" i="8"/>
  <c r="C162" i="8"/>
  <c r="K161" i="8"/>
  <c r="L161" i="8" s="1"/>
  <c r="H161" i="8"/>
  <c r="C161" i="8"/>
  <c r="K160" i="8"/>
  <c r="L160" i="8" s="1"/>
  <c r="H160" i="8"/>
  <c r="C160" i="8"/>
  <c r="K159" i="8"/>
  <c r="L159" i="8" s="1"/>
  <c r="H159" i="8"/>
  <c r="C159" i="8"/>
  <c r="K158" i="8"/>
  <c r="L158" i="8" s="1"/>
  <c r="H158" i="8"/>
  <c r="C158" i="8"/>
  <c r="K157" i="8"/>
  <c r="L157" i="8" s="1"/>
  <c r="H157" i="8"/>
  <c r="C157" i="8"/>
  <c r="L156" i="8"/>
  <c r="K156" i="8"/>
  <c r="H156" i="8"/>
  <c r="C156" i="8"/>
  <c r="K155" i="8"/>
  <c r="L155" i="8" s="1"/>
  <c r="H155" i="8"/>
  <c r="C155" i="8"/>
  <c r="K154" i="8"/>
  <c r="L154" i="8" s="1"/>
  <c r="H154" i="8"/>
  <c r="C154" i="8"/>
  <c r="K153" i="8"/>
  <c r="L153" i="8" s="1"/>
  <c r="H153" i="8"/>
  <c r="C153" i="8"/>
  <c r="L152" i="8"/>
  <c r="K152" i="8"/>
  <c r="H152" i="8"/>
  <c r="C152" i="8"/>
  <c r="K151" i="8"/>
  <c r="L151" i="8" s="1"/>
  <c r="H151" i="8"/>
  <c r="C151" i="8"/>
  <c r="K150" i="8"/>
  <c r="L150" i="8" s="1"/>
  <c r="H150" i="8"/>
  <c r="C150" i="8"/>
  <c r="K149" i="8"/>
  <c r="L149" i="8" s="1"/>
  <c r="H149" i="8"/>
  <c r="C149" i="8"/>
  <c r="L148" i="8"/>
  <c r="K148" i="8"/>
  <c r="H148" i="8"/>
  <c r="C148" i="8"/>
  <c r="K147" i="8"/>
  <c r="L147" i="8" s="1"/>
  <c r="H147" i="8"/>
  <c r="C147" i="8"/>
  <c r="K146" i="8"/>
  <c r="L146" i="8" s="1"/>
  <c r="H146" i="8"/>
  <c r="C146" i="8"/>
  <c r="K145" i="8"/>
  <c r="L145" i="8" s="1"/>
  <c r="H145" i="8"/>
  <c r="C145" i="8"/>
  <c r="K144" i="8"/>
  <c r="L144" i="8" s="1"/>
  <c r="H144" i="8"/>
  <c r="C144" i="8"/>
  <c r="L143" i="8"/>
  <c r="K143" i="8"/>
  <c r="H143" i="8"/>
  <c r="C143" i="8"/>
  <c r="K142" i="8"/>
  <c r="L142" i="8" s="1"/>
  <c r="H142" i="8"/>
  <c r="C142" i="8"/>
  <c r="L141" i="8"/>
  <c r="K141" i="8"/>
  <c r="H141" i="8"/>
  <c r="C141" i="8"/>
  <c r="K140" i="8"/>
  <c r="L140" i="8" s="1"/>
  <c r="H140" i="8"/>
  <c r="C140" i="8"/>
  <c r="L139" i="8"/>
  <c r="K139" i="8"/>
  <c r="H139" i="8"/>
  <c r="C139" i="8"/>
  <c r="K138" i="8"/>
  <c r="L138" i="8" s="1"/>
  <c r="H138" i="8"/>
  <c r="C138" i="8"/>
  <c r="L137" i="8"/>
  <c r="K137" i="8"/>
  <c r="H137" i="8"/>
  <c r="C137" i="8"/>
  <c r="K136" i="8"/>
  <c r="L136" i="8" s="1"/>
  <c r="H136" i="8"/>
  <c r="C136" i="8"/>
  <c r="L135" i="8"/>
  <c r="K135" i="8"/>
  <c r="H135" i="8"/>
  <c r="C135" i="8"/>
  <c r="K134" i="8"/>
  <c r="L134" i="8" s="1"/>
  <c r="H134" i="8"/>
  <c r="C134" i="8"/>
  <c r="L133" i="8"/>
  <c r="K133" i="8"/>
  <c r="H133" i="8"/>
  <c r="C133" i="8"/>
  <c r="K132" i="8"/>
  <c r="L132" i="8" s="1"/>
  <c r="H132" i="8"/>
  <c r="C132" i="8"/>
  <c r="L131" i="8"/>
  <c r="K131" i="8"/>
  <c r="H131" i="8"/>
  <c r="C131" i="8"/>
  <c r="K130" i="8"/>
  <c r="L130" i="8" s="1"/>
  <c r="H130" i="8"/>
  <c r="C130" i="8"/>
  <c r="L129" i="8"/>
  <c r="K129" i="8"/>
  <c r="H129" i="8"/>
  <c r="C129" i="8"/>
  <c r="K128" i="8"/>
  <c r="L128" i="8" s="1"/>
  <c r="H128" i="8"/>
  <c r="C128" i="8"/>
  <c r="L127" i="8"/>
  <c r="K127" i="8"/>
  <c r="H127" i="8"/>
  <c r="C127" i="8"/>
  <c r="K126" i="8"/>
  <c r="L126" i="8" s="1"/>
  <c r="H126" i="8"/>
  <c r="C126" i="8"/>
  <c r="L125" i="8"/>
  <c r="K125" i="8"/>
  <c r="H125" i="8"/>
  <c r="C125" i="8"/>
  <c r="K124" i="8"/>
  <c r="L124" i="8" s="1"/>
  <c r="H124" i="8"/>
  <c r="C124" i="8"/>
  <c r="L123" i="8"/>
  <c r="K123" i="8"/>
  <c r="H123" i="8"/>
  <c r="C123" i="8"/>
  <c r="K122" i="8"/>
  <c r="L122" i="8" s="1"/>
  <c r="H122" i="8"/>
  <c r="C122" i="8"/>
  <c r="L121" i="8"/>
  <c r="K121" i="8"/>
  <c r="H121" i="8"/>
  <c r="C121" i="8"/>
  <c r="K120" i="8"/>
  <c r="L120" i="8" s="1"/>
  <c r="H120" i="8"/>
  <c r="C120" i="8"/>
  <c r="L119" i="8"/>
  <c r="K119" i="8"/>
  <c r="H119" i="8"/>
  <c r="C119" i="8"/>
  <c r="K118" i="8"/>
  <c r="L118" i="8" s="1"/>
  <c r="H118" i="8"/>
  <c r="C118" i="8"/>
  <c r="L117" i="8"/>
  <c r="K117" i="8"/>
  <c r="H117" i="8"/>
  <c r="C117" i="8"/>
  <c r="K116" i="8"/>
  <c r="L116" i="8" s="1"/>
  <c r="H116" i="8"/>
  <c r="C116" i="8"/>
  <c r="L115" i="8"/>
  <c r="K115" i="8"/>
  <c r="H115" i="8"/>
  <c r="C115" i="8"/>
  <c r="K114" i="8"/>
  <c r="L114" i="8" s="1"/>
  <c r="H114" i="8"/>
  <c r="C114" i="8"/>
  <c r="L113" i="8"/>
  <c r="K113" i="8"/>
  <c r="H113" i="8"/>
  <c r="C113" i="8"/>
  <c r="K112" i="8"/>
  <c r="L112" i="8" s="1"/>
  <c r="H112" i="8"/>
  <c r="C112" i="8"/>
  <c r="L111" i="8"/>
  <c r="K111" i="8"/>
  <c r="H111" i="8"/>
  <c r="C111" i="8"/>
  <c r="K110" i="8"/>
  <c r="L110" i="8" s="1"/>
  <c r="H110" i="8"/>
  <c r="C110" i="8"/>
  <c r="K109" i="8"/>
  <c r="L109" i="8" s="1"/>
  <c r="H109" i="8"/>
  <c r="C109" i="8"/>
  <c r="K108" i="8"/>
  <c r="L108" i="8" s="1"/>
  <c r="H108" i="8"/>
  <c r="C108" i="8"/>
  <c r="L107" i="8"/>
  <c r="K107" i="8"/>
  <c r="H107" i="8"/>
  <c r="C107" i="8"/>
  <c r="K106" i="8"/>
  <c r="L106" i="8" s="1"/>
  <c r="H106" i="8"/>
  <c r="C106" i="8"/>
  <c r="L105" i="8"/>
  <c r="K105" i="8"/>
  <c r="H105" i="8"/>
  <c r="C105" i="8"/>
  <c r="K104" i="8"/>
  <c r="L104" i="8" s="1"/>
  <c r="H104" i="8"/>
  <c r="C104" i="8"/>
  <c r="L103" i="8"/>
  <c r="K103" i="8"/>
  <c r="H103" i="8"/>
  <c r="C103" i="8"/>
  <c r="K102" i="8"/>
  <c r="L102" i="8" s="1"/>
  <c r="H102" i="8"/>
  <c r="C102" i="8"/>
  <c r="L101" i="8"/>
  <c r="K101" i="8"/>
  <c r="H101" i="8"/>
  <c r="C101" i="8"/>
  <c r="K100" i="8"/>
  <c r="L100" i="8" s="1"/>
  <c r="H100" i="8"/>
  <c r="C100" i="8"/>
  <c r="L99" i="8"/>
  <c r="K99" i="8"/>
  <c r="H99" i="8"/>
  <c r="C99" i="8"/>
  <c r="K98" i="8"/>
  <c r="L98" i="8" s="1"/>
  <c r="H98" i="8"/>
  <c r="C98" i="8"/>
  <c r="L97" i="8"/>
  <c r="K97" i="8"/>
  <c r="H97" i="8"/>
  <c r="C97" i="8"/>
  <c r="K96" i="8"/>
  <c r="L96" i="8" s="1"/>
  <c r="H96" i="8"/>
  <c r="C96" i="8"/>
  <c r="L95" i="8"/>
  <c r="K95" i="8"/>
  <c r="H95" i="8"/>
  <c r="C95" i="8"/>
  <c r="K94" i="8"/>
  <c r="L94" i="8" s="1"/>
  <c r="H94" i="8"/>
  <c r="C94" i="8"/>
  <c r="L93" i="8"/>
  <c r="K93" i="8"/>
  <c r="H93" i="8"/>
  <c r="C93" i="8"/>
  <c r="K92" i="8"/>
  <c r="L92" i="8" s="1"/>
  <c r="H92" i="8"/>
  <c r="C92" i="8"/>
  <c r="L91" i="8"/>
  <c r="K91" i="8"/>
  <c r="H91" i="8"/>
  <c r="C91" i="8"/>
  <c r="K90" i="8"/>
  <c r="L90" i="8" s="1"/>
  <c r="H90" i="8"/>
  <c r="C90" i="8"/>
  <c r="L89" i="8"/>
  <c r="K89" i="8"/>
  <c r="H89" i="8"/>
  <c r="C89" i="8"/>
  <c r="K88" i="8"/>
  <c r="L88" i="8" s="1"/>
  <c r="H88" i="8"/>
  <c r="C88" i="8"/>
  <c r="L87" i="8"/>
  <c r="K87" i="8"/>
  <c r="H87" i="8"/>
  <c r="C87" i="8"/>
  <c r="K86" i="8"/>
  <c r="L86" i="8" s="1"/>
  <c r="H86" i="8"/>
  <c r="C86" i="8"/>
  <c r="L85" i="8"/>
  <c r="K85" i="8"/>
  <c r="H85" i="8"/>
  <c r="C85" i="8"/>
  <c r="K84" i="8"/>
  <c r="L84" i="8" s="1"/>
  <c r="H84" i="8"/>
  <c r="C84" i="8"/>
  <c r="L83" i="8"/>
  <c r="K83" i="8"/>
  <c r="H83" i="8"/>
  <c r="C83" i="8"/>
  <c r="K82" i="8"/>
  <c r="L82" i="8" s="1"/>
  <c r="H82" i="8"/>
  <c r="C82" i="8"/>
  <c r="L81" i="8"/>
  <c r="K81" i="8"/>
  <c r="H81" i="8"/>
  <c r="C81" i="8"/>
  <c r="K80" i="8"/>
  <c r="L80" i="8" s="1"/>
  <c r="H80" i="8"/>
  <c r="C80" i="8"/>
  <c r="L79" i="8"/>
  <c r="K79" i="8"/>
  <c r="H79" i="8"/>
  <c r="C79" i="8"/>
  <c r="K78" i="8"/>
  <c r="L78" i="8" s="1"/>
  <c r="H78" i="8"/>
  <c r="C78" i="8"/>
  <c r="L77" i="8"/>
  <c r="K77" i="8"/>
  <c r="H77" i="8"/>
  <c r="C77" i="8"/>
  <c r="K76" i="8"/>
  <c r="L76" i="8" s="1"/>
  <c r="H76" i="8"/>
  <c r="C76" i="8"/>
  <c r="L75" i="8"/>
  <c r="K75" i="8"/>
  <c r="H75" i="8"/>
  <c r="C75" i="8"/>
  <c r="K74" i="8"/>
  <c r="L74" i="8" s="1"/>
  <c r="H74" i="8"/>
  <c r="C74" i="8"/>
  <c r="L73" i="8"/>
  <c r="K73" i="8"/>
  <c r="H73" i="8"/>
  <c r="C73" i="8"/>
  <c r="K72" i="8"/>
  <c r="L72" i="8" s="1"/>
  <c r="H72" i="8"/>
  <c r="C72" i="8"/>
  <c r="L71" i="8"/>
  <c r="K71" i="8"/>
  <c r="H71" i="8"/>
  <c r="C71" i="8"/>
  <c r="K70" i="8"/>
  <c r="L70" i="8" s="1"/>
  <c r="H70" i="8"/>
  <c r="C70" i="8"/>
  <c r="L69" i="8"/>
  <c r="K69" i="8"/>
  <c r="H69" i="8"/>
  <c r="C69" i="8"/>
  <c r="K68" i="8"/>
  <c r="L68" i="8" s="1"/>
  <c r="H68" i="8"/>
  <c r="C68" i="8"/>
  <c r="L67" i="8"/>
  <c r="K67" i="8"/>
  <c r="H67" i="8"/>
  <c r="C67" i="8"/>
  <c r="K66" i="8"/>
  <c r="L66" i="8" s="1"/>
  <c r="H66" i="8"/>
  <c r="C66" i="8"/>
  <c r="L65" i="8"/>
  <c r="K65" i="8"/>
  <c r="H65" i="8"/>
  <c r="C65" i="8"/>
  <c r="K64" i="8"/>
  <c r="L64" i="8" s="1"/>
  <c r="H64" i="8"/>
  <c r="C64" i="8"/>
  <c r="L63" i="8"/>
  <c r="K63" i="8"/>
  <c r="H63" i="8"/>
  <c r="C63" i="8"/>
  <c r="K62" i="8"/>
  <c r="L62" i="8" s="1"/>
  <c r="H62" i="8"/>
  <c r="C62" i="8"/>
  <c r="L61" i="8"/>
  <c r="K61" i="8"/>
  <c r="H61" i="8"/>
  <c r="C61" i="8"/>
  <c r="K60" i="8"/>
  <c r="L60" i="8" s="1"/>
  <c r="H60" i="8"/>
  <c r="C60" i="8"/>
  <c r="L59" i="8"/>
  <c r="K59" i="8"/>
  <c r="H59" i="8"/>
  <c r="C59" i="8"/>
  <c r="K58" i="8"/>
  <c r="L58" i="8" s="1"/>
  <c r="H58" i="8"/>
  <c r="C58" i="8"/>
  <c r="L57" i="8"/>
  <c r="K57" i="8"/>
  <c r="H57" i="8"/>
  <c r="C57" i="8"/>
  <c r="K56" i="8"/>
  <c r="L56" i="8" s="1"/>
  <c r="H56" i="8"/>
  <c r="C56" i="8"/>
  <c r="L55" i="8"/>
  <c r="K55" i="8"/>
  <c r="H55" i="8"/>
  <c r="C55" i="8"/>
  <c r="K54" i="8"/>
  <c r="L54" i="8" s="1"/>
  <c r="H54" i="8"/>
  <c r="C54" i="8"/>
  <c r="L53" i="8"/>
  <c r="K53" i="8"/>
  <c r="H53" i="8"/>
  <c r="C53" i="8"/>
  <c r="K52" i="8"/>
  <c r="L52" i="8" s="1"/>
  <c r="H52" i="8"/>
  <c r="C52" i="8"/>
  <c r="L51" i="8"/>
  <c r="K51" i="8"/>
  <c r="H51" i="8"/>
  <c r="C51" i="8"/>
  <c r="K50" i="8"/>
  <c r="L50" i="8" s="1"/>
  <c r="H50" i="8"/>
  <c r="C50" i="8"/>
  <c r="L49" i="8"/>
  <c r="K49" i="8"/>
  <c r="H49" i="8"/>
  <c r="C49" i="8"/>
  <c r="K48" i="8"/>
  <c r="L48" i="8" s="1"/>
  <c r="H48" i="8"/>
  <c r="C48" i="8"/>
  <c r="L47" i="8"/>
  <c r="K47" i="8"/>
  <c r="H47" i="8"/>
  <c r="C47" i="8"/>
  <c r="K46" i="8"/>
  <c r="L46" i="8" s="1"/>
  <c r="H46" i="8"/>
  <c r="C46" i="8"/>
  <c r="L45" i="8"/>
  <c r="K45" i="8"/>
  <c r="H45" i="8"/>
  <c r="C45" i="8"/>
  <c r="K44" i="8"/>
  <c r="L44" i="8" s="1"/>
  <c r="H44" i="8"/>
  <c r="C44" i="8"/>
  <c r="L43" i="8"/>
  <c r="K43" i="8"/>
  <c r="H43" i="8"/>
  <c r="C43" i="8"/>
  <c r="K42" i="8"/>
  <c r="L42" i="8" s="1"/>
  <c r="H42" i="8"/>
  <c r="C42" i="8"/>
  <c r="L41" i="8"/>
  <c r="K41" i="8"/>
  <c r="H41" i="8"/>
  <c r="C41" i="8"/>
  <c r="K40" i="8"/>
  <c r="L40" i="8" s="1"/>
  <c r="H40" i="8"/>
  <c r="C40" i="8"/>
  <c r="L39" i="8"/>
  <c r="K39" i="8"/>
  <c r="H39" i="8"/>
  <c r="C39" i="8"/>
  <c r="K38" i="8"/>
  <c r="L38" i="8" s="1"/>
  <c r="H38" i="8"/>
  <c r="C38" i="8"/>
  <c r="L37" i="8"/>
  <c r="K37" i="8"/>
  <c r="H37" i="8"/>
  <c r="C37" i="8"/>
  <c r="K36" i="8"/>
  <c r="L36" i="8" s="1"/>
  <c r="H36" i="8"/>
  <c r="C36" i="8"/>
  <c r="L35" i="8"/>
  <c r="K35" i="8"/>
  <c r="H35" i="8"/>
  <c r="C35" i="8"/>
  <c r="K34" i="8"/>
  <c r="L34" i="8" s="1"/>
  <c r="H34" i="8"/>
  <c r="C34" i="8"/>
  <c r="L33" i="8"/>
  <c r="K33" i="8"/>
  <c r="H33" i="8"/>
  <c r="C33" i="8"/>
  <c r="K32" i="8"/>
  <c r="L32" i="8" s="1"/>
  <c r="H32" i="8"/>
  <c r="C32" i="8"/>
  <c r="L31" i="8"/>
  <c r="K31" i="8"/>
  <c r="H31" i="8"/>
  <c r="C31" i="8"/>
  <c r="K30" i="8"/>
  <c r="L30" i="8" s="1"/>
  <c r="H30" i="8"/>
  <c r="C30" i="8"/>
  <c r="L29" i="8"/>
  <c r="K29" i="8"/>
  <c r="H29" i="8"/>
  <c r="C29" i="8"/>
  <c r="K28" i="8"/>
  <c r="L28" i="8" s="1"/>
  <c r="H28" i="8"/>
  <c r="C28" i="8"/>
  <c r="L27" i="8"/>
  <c r="K27" i="8"/>
  <c r="H27" i="8"/>
  <c r="C27" i="8"/>
  <c r="K26" i="8"/>
  <c r="L26" i="8" s="1"/>
  <c r="H26" i="8"/>
  <c r="C26" i="8"/>
  <c r="L25" i="8"/>
  <c r="K25" i="8"/>
  <c r="H25" i="8"/>
  <c r="C25" i="8"/>
  <c r="K24" i="8"/>
  <c r="L24" i="8" s="1"/>
  <c r="H24" i="8"/>
  <c r="C24" i="8"/>
  <c r="L23" i="8"/>
  <c r="K23" i="8"/>
  <c r="H23" i="8"/>
  <c r="C23" i="8"/>
  <c r="K22" i="8"/>
  <c r="L22" i="8" s="1"/>
  <c r="H22" i="8"/>
  <c r="C22" i="8"/>
  <c r="L21" i="8"/>
  <c r="K21" i="8"/>
  <c r="H21" i="8"/>
  <c r="C21" i="8"/>
  <c r="K20" i="8"/>
  <c r="L20" i="8" s="1"/>
  <c r="H20" i="8"/>
  <c r="C20" i="8"/>
  <c r="L19" i="8"/>
  <c r="K19" i="8"/>
  <c r="H19" i="8"/>
  <c r="C19" i="8"/>
  <c r="K18" i="8"/>
  <c r="L18" i="8" s="1"/>
  <c r="H18" i="8"/>
  <c r="C18" i="8"/>
  <c r="L17" i="8"/>
  <c r="K17" i="8"/>
  <c r="H17" i="8"/>
  <c r="C17" i="8"/>
  <c r="K16" i="8"/>
  <c r="L16" i="8" s="1"/>
  <c r="H16" i="8"/>
  <c r="C16" i="8"/>
  <c r="L15" i="8"/>
  <c r="K15" i="8"/>
  <c r="H15" i="8"/>
  <c r="C15" i="8"/>
  <c r="K14" i="8"/>
  <c r="L14" i="8" s="1"/>
  <c r="H14" i="8"/>
  <c r="C14" i="8"/>
  <c r="L13" i="8"/>
  <c r="K13" i="8"/>
  <c r="H13" i="8"/>
  <c r="C13" i="8"/>
  <c r="K12" i="8"/>
  <c r="L12" i="8" s="1"/>
  <c r="H12" i="8"/>
  <c r="C12" i="8"/>
  <c r="L11" i="8"/>
  <c r="K11" i="8"/>
  <c r="H11" i="8"/>
  <c r="C11" i="8"/>
  <c r="L10" i="8"/>
  <c r="K10" i="8"/>
  <c r="H10" i="8"/>
  <c r="C10" i="8"/>
  <c r="P9" i="8"/>
  <c r="O9" i="8"/>
  <c r="K9" i="8"/>
  <c r="L9" i="8" s="1"/>
  <c r="H9" i="8"/>
  <c r="C9" i="8"/>
  <c r="O8" i="8"/>
  <c r="P8" i="8" s="1"/>
  <c r="K8" i="8"/>
  <c r="L8" i="8" s="1"/>
  <c r="H8" i="8"/>
  <c r="C8" i="8"/>
  <c r="O7" i="8"/>
  <c r="P7" i="8" s="1"/>
  <c r="L7" i="8"/>
  <c r="K7" i="8"/>
  <c r="H7" i="8"/>
  <c r="C7" i="8"/>
  <c r="P6" i="8"/>
  <c r="O6" i="8"/>
  <c r="K6" i="8"/>
  <c r="L6" i="8" s="1"/>
  <c r="H6" i="8"/>
  <c r="C6" i="8"/>
  <c r="O5" i="8"/>
  <c r="P5" i="8" s="1"/>
  <c r="K5" i="8"/>
  <c r="L5" i="8" s="1"/>
  <c r="H5" i="8"/>
  <c r="C5" i="8"/>
  <c r="P4" i="8"/>
  <c r="O4" i="8"/>
  <c r="L4" i="8"/>
  <c r="K4" i="8"/>
  <c r="H4" i="8"/>
  <c r="C4" i="8"/>
  <c r="O3" i="8"/>
  <c r="P3" i="8" s="1"/>
  <c r="K3" i="8"/>
  <c r="L3" i="8" s="1"/>
  <c r="H3" i="8"/>
  <c r="C3" i="8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Y35" i="6"/>
  <c r="Y36" i="6"/>
  <c r="Y37" i="6"/>
  <c r="Y38" i="6"/>
  <c r="Y39" i="6"/>
  <c r="Y40" i="6"/>
  <c r="Y41" i="6"/>
  <c r="Y42" i="6"/>
  <c r="Y43" i="6"/>
  <c r="Y44" i="6"/>
  <c r="Y45" i="6"/>
  <c r="Y46" i="6"/>
  <c r="Y47" i="6"/>
  <c r="Y48" i="6"/>
  <c r="Y49" i="6"/>
  <c r="Y50" i="6"/>
  <c r="Y51" i="6"/>
  <c r="Y52" i="6"/>
  <c r="Y53" i="6"/>
  <c r="Y54" i="6"/>
  <c r="Y55" i="6"/>
  <c r="Y56" i="6"/>
  <c r="Y57" i="6"/>
  <c r="Y58" i="6"/>
  <c r="Y59" i="6"/>
  <c r="Y60" i="6"/>
  <c r="Y61" i="6"/>
  <c r="Y62" i="6"/>
  <c r="Y63" i="6"/>
  <c r="Y64" i="6"/>
  <c r="Y65" i="6"/>
  <c r="Y66" i="6"/>
  <c r="Y67" i="6"/>
  <c r="Y68" i="6"/>
  <c r="Y69" i="6"/>
  <c r="Y70" i="6"/>
  <c r="Y71" i="6"/>
  <c r="Y72" i="6"/>
  <c r="Y73" i="6"/>
  <c r="Y74" i="6"/>
  <c r="Y75" i="6"/>
  <c r="Y76" i="6"/>
  <c r="Y77" i="6"/>
  <c r="Y78" i="6"/>
  <c r="Y79" i="6"/>
  <c r="Y80" i="6"/>
  <c r="Y81" i="6"/>
  <c r="Y82" i="6"/>
  <c r="Y83" i="6"/>
  <c r="Y84" i="6"/>
  <c r="Y85" i="6"/>
  <c r="Y86" i="6"/>
  <c r="Y87" i="6"/>
  <c r="Y88" i="6"/>
  <c r="Y89" i="6"/>
  <c r="Y90" i="6"/>
  <c r="Y91" i="6"/>
  <c r="Y92" i="6"/>
  <c r="Y93" i="6"/>
  <c r="Y94" i="6"/>
  <c r="Y95" i="6"/>
  <c r="Y96" i="6"/>
  <c r="Y97" i="6"/>
  <c r="Y98" i="6"/>
  <c r="Y99" i="6"/>
  <c r="Y100" i="6"/>
  <c r="Y101" i="6"/>
  <c r="Y102" i="6"/>
  <c r="Y103" i="6"/>
  <c r="Y104" i="6"/>
  <c r="Y105" i="6"/>
  <c r="Y106" i="6"/>
  <c r="Y107" i="6"/>
  <c r="Y108" i="6"/>
  <c r="Y109" i="6"/>
  <c r="Y110" i="6"/>
  <c r="Y111" i="6"/>
  <c r="Y112" i="6"/>
  <c r="Y113" i="6"/>
  <c r="Y114" i="6"/>
  <c r="Y115" i="6"/>
  <c r="Y116" i="6"/>
  <c r="Y117" i="6"/>
  <c r="Y118" i="6"/>
  <c r="Y119" i="6"/>
  <c r="Y120" i="6"/>
  <c r="Y121" i="6"/>
  <c r="Y122" i="6"/>
  <c r="Y123" i="6"/>
  <c r="Y124" i="6"/>
  <c r="Y125" i="6"/>
  <c r="Y126" i="6"/>
  <c r="Y127" i="6"/>
  <c r="Y128" i="6"/>
  <c r="Y129" i="6"/>
  <c r="Y130" i="6"/>
  <c r="Y131" i="6"/>
  <c r="Y132" i="6"/>
  <c r="Y133" i="6"/>
  <c r="Y134" i="6"/>
  <c r="Y135" i="6"/>
  <c r="Y136" i="6"/>
  <c r="Y137" i="6"/>
  <c r="Y138" i="6"/>
  <c r="Y139" i="6"/>
  <c r="Y140" i="6"/>
  <c r="Y141" i="6"/>
  <c r="Y142" i="6"/>
  <c r="Y143" i="6"/>
  <c r="Y144" i="6"/>
  <c r="Y145" i="6"/>
  <c r="Y146" i="6"/>
  <c r="Y147" i="6"/>
  <c r="Y148" i="6"/>
  <c r="Y149" i="6"/>
  <c r="Y150" i="6"/>
  <c r="Y151" i="6"/>
  <c r="Y152" i="6"/>
  <c r="Y153" i="6"/>
  <c r="Y154" i="6"/>
  <c r="Y155" i="6"/>
  <c r="Y156" i="6"/>
  <c r="Y157" i="6"/>
  <c r="Y158" i="6"/>
  <c r="Y159" i="6"/>
  <c r="Y160" i="6"/>
  <c r="Y161" i="6"/>
  <c r="Y162" i="6"/>
  <c r="Y163" i="6"/>
  <c r="Y164" i="6"/>
  <c r="Y165" i="6"/>
  <c r="Y166" i="6"/>
  <c r="Y167" i="6"/>
  <c r="Y168" i="6"/>
  <c r="Y169" i="6"/>
  <c r="Y170" i="6"/>
  <c r="Y171" i="6"/>
  <c r="Y172" i="6"/>
  <c r="Y173" i="6"/>
  <c r="Y174" i="6"/>
  <c r="Y175" i="6"/>
  <c r="Y176" i="6"/>
  <c r="Y177" i="6"/>
  <c r="Y178" i="6"/>
  <c r="Y179" i="6"/>
  <c r="Y180" i="6"/>
  <c r="Y181" i="6"/>
  <c r="Y182" i="6"/>
  <c r="Y183" i="6"/>
  <c r="Y184" i="6"/>
  <c r="Y185" i="6"/>
  <c r="Y186" i="6"/>
  <c r="Y187" i="6"/>
  <c r="Y188" i="6"/>
  <c r="Y189" i="6"/>
  <c r="Y190" i="6"/>
  <c r="Y191" i="6"/>
  <c r="Y192" i="6"/>
  <c r="Y193" i="6"/>
  <c r="Y194" i="6"/>
  <c r="Y195" i="6"/>
  <c r="Y196" i="6"/>
  <c r="Y197" i="6"/>
  <c r="Y198" i="6"/>
  <c r="Y199" i="6"/>
  <c r="Y200" i="6"/>
  <c r="Y201" i="6"/>
  <c r="Y202" i="6"/>
  <c r="Y203" i="6"/>
  <c r="Y204" i="6"/>
  <c r="Y205" i="6"/>
  <c r="Y206" i="6"/>
  <c r="Y207" i="6"/>
  <c r="Y208" i="6"/>
  <c r="Y209" i="6"/>
  <c r="Y210" i="6"/>
  <c r="Y211" i="6"/>
  <c r="Y212" i="6"/>
  <c r="Y213" i="6"/>
  <c r="Y214" i="6"/>
  <c r="Y215" i="6"/>
  <c r="Y216" i="6"/>
  <c r="Y217" i="6"/>
  <c r="Y218" i="6"/>
  <c r="Y219" i="6"/>
  <c r="Y220" i="6"/>
  <c r="Y221" i="6"/>
  <c r="Y222" i="6"/>
  <c r="Y223" i="6"/>
  <c r="Y224" i="6"/>
  <c r="Y225" i="6"/>
  <c r="Y226" i="6"/>
  <c r="Y227" i="6"/>
  <c r="Y228" i="6"/>
  <c r="Y229" i="6"/>
  <c r="Y230" i="6"/>
  <c r="Y231" i="6"/>
  <c r="Y232" i="6"/>
  <c r="Y233" i="6"/>
  <c r="Y234" i="6"/>
  <c r="Y235" i="6"/>
  <c r="Y236" i="6"/>
  <c r="Y237" i="6"/>
  <c r="Y238" i="6"/>
  <c r="Y239" i="6"/>
  <c r="Y240" i="6"/>
  <c r="Y241" i="6"/>
  <c r="Y242" i="6"/>
  <c r="Y243" i="6"/>
  <c r="Y244" i="6"/>
  <c r="Y245" i="6"/>
  <c r="Y246" i="6"/>
  <c r="Y247" i="6"/>
  <c r="Y248" i="6"/>
  <c r="Y249" i="6"/>
  <c r="Y250" i="6"/>
  <c r="Y251" i="6"/>
  <c r="Y252" i="6"/>
  <c r="Y253" i="6"/>
  <c r="Y254" i="6"/>
  <c r="Y255" i="6"/>
  <c r="Y256" i="6"/>
  <c r="Y257" i="6"/>
  <c r="Y258" i="6"/>
  <c r="Y259" i="6"/>
  <c r="Y260" i="6"/>
  <c r="Y261" i="6"/>
  <c r="Y262" i="6"/>
  <c r="Y263" i="6"/>
  <c r="Y264" i="6"/>
  <c r="Y265" i="6"/>
  <c r="Y266" i="6"/>
  <c r="Y267" i="6"/>
  <c r="Y268" i="6"/>
  <c r="Y269" i="6"/>
  <c r="Y270" i="6"/>
  <c r="Y271" i="6"/>
  <c r="Y272" i="6"/>
  <c r="Y273" i="6"/>
  <c r="Y274" i="6"/>
  <c r="Y275" i="6"/>
  <c r="Y276" i="6"/>
  <c r="Y277" i="6"/>
  <c r="Y278" i="6"/>
  <c r="Y279" i="6"/>
  <c r="Y280" i="6"/>
  <c r="Y281" i="6"/>
  <c r="Y282" i="6"/>
  <c r="Y283" i="6"/>
  <c r="Y284" i="6"/>
  <c r="Y285" i="6"/>
  <c r="Y286" i="6"/>
  <c r="Y287" i="6"/>
  <c r="Y288" i="6"/>
  <c r="Y289" i="6"/>
  <c r="Y290" i="6"/>
  <c r="Y291" i="6"/>
  <c r="Y292" i="6"/>
  <c r="Y293" i="6"/>
  <c r="Y294" i="6"/>
  <c r="Y295" i="6"/>
  <c r="Y296" i="6"/>
  <c r="Y297" i="6"/>
  <c r="Y298" i="6"/>
  <c r="Y299" i="6"/>
  <c r="Y300" i="6"/>
  <c r="Y301" i="6"/>
  <c r="Y302" i="6"/>
  <c r="Y303" i="6"/>
  <c r="Y304" i="6"/>
  <c r="Y305" i="6"/>
  <c r="Y306" i="6"/>
  <c r="Y307" i="6"/>
  <c r="Y308" i="6"/>
  <c r="Y309" i="6"/>
  <c r="Y310" i="6"/>
  <c r="Y311" i="6"/>
  <c r="Y312" i="6"/>
  <c r="Y313" i="6"/>
  <c r="Y3" i="6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" i="4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" i="3"/>
  <c r="C313" i="4"/>
  <c r="C312" i="4"/>
  <c r="C311" i="4"/>
  <c r="C310" i="4"/>
  <c r="C309" i="4"/>
  <c r="C308" i="4"/>
  <c r="C307" i="4"/>
  <c r="C306" i="4"/>
  <c r="C305" i="4"/>
  <c r="C304" i="4"/>
  <c r="C303" i="4"/>
  <c r="C302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C274" i="4"/>
  <c r="C273" i="4"/>
  <c r="C272" i="4"/>
  <c r="C271" i="4"/>
  <c r="C270" i="4"/>
  <c r="C269" i="4"/>
  <c r="C268" i="4"/>
  <c r="C267" i="4"/>
  <c r="C266" i="4"/>
  <c r="C265" i="4"/>
  <c r="C264" i="4"/>
  <c r="C263" i="4"/>
  <c r="C262" i="4"/>
  <c r="C261" i="4"/>
  <c r="C260" i="4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P10" i="8" l="1"/>
  <c r="Q7" i="8" s="1"/>
  <c r="Q3" i="8" l="1"/>
  <c r="Q10" i="8" s="1"/>
  <c r="Q8" i="8"/>
  <c r="Q6" i="8"/>
  <c r="Q5" i="8"/>
  <c r="Q4" i="8"/>
  <c r="Q9" i="8"/>
</calcChain>
</file>

<file path=xl/sharedStrings.xml><?xml version="1.0" encoding="utf-8"?>
<sst xmlns="http://schemas.openxmlformats.org/spreadsheetml/2006/main" count="5505" uniqueCount="1017">
  <si>
    <t>No PO</t>
  </si>
  <si>
    <t>Nama Klien</t>
  </si>
  <si>
    <t>Kode Barang</t>
  </si>
  <si>
    <t>Nama Barang</t>
  </si>
  <si>
    <t>Satuan</t>
  </si>
  <si>
    <t>Tanggal Pengiriman</t>
  </si>
  <si>
    <t>PT Maju Jaya Plastik</t>
  </si>
  <si>
    <t>BP001</t>
  </si>
  <si>
    <t>PET Clear Flakes</t>
  </si>
  <si>
    <t>kg</t>
  </si>
  <si>
    <t>PT Surya Polimer Indonesia</t>
  </si>
  <si>
    <t>BP002</t>
  </si>
  <si>
    <t>PET Blue Flakes</t>
  </si>
  <si>
    <t>PT Mitra Plastik Nusantara</t>
  </si>
  <si>
    <t>BP003</t>
  </si>
  <si>
    <t>HDPE Natural Flakes</t>
  </si>
  <si>
    <t>PT Global Recycle Industry</t>
  </si>
  <si>
    <t>BP004</t>
  </si>
  <si>
    <t>HDPE Mixed Color Flakes</t>
  </si>
  <si>
    <t>PT Indo Plastik Mandiri</t>
  </si>
  <si>
    <t>BP005</t>
  </si>
  <si>
    <t>PP Injection Flakes</t>
  </si>
  <si>
    <t>PT Cahaya Plastik Abadi</t>
  </si>
  <si>
    <t>BP006</t>
  </si>
  <si>
    <t>PET Green Flakes</t>
  </si>
  <si>
    <t>PT Bintang Daur Ulang</t>
  </si>
  <si>
    <t>BP007</t>
  </si>
  <si>
    <t>HDPE Blue Drum Flakes</t>
  </si>
  <si>
    <t>BP008</t>
  </si>
  <si>
    <t>PET Mixed Color Flakes</t>
  </si>
  <si>
    <t>BP009</t>
  </si>
  <si>
    <t>PP White Flakes</t>
  </si>
  <si>
    <t>BP010</t>
  </si>
  <si>
    <t>HDPE Bottle Cap Flakes</t>
  </si>
  <si>
    <t>BP011</t>
  </si>
  <si>
    <t>PET Hot Washed Flakes</t>
  </si>
  <si>
    <t>Kode</t>
  </si>
  <si>
    <t>Kode PO</t>
  </si>
  <si>
    <t>Qty</t>
  </si>
  <si>
    <t>PO01012501</t>
  </si>
  <si>
    <t>PO01012502</t>
  </si>
  <si>
    <t>PO02012501</t>
  </si>
  <si>
    <t>PO02012502</t>
  </si>
  <si>
    <t>PO03012501</t>
  </si>
  <si>
    <t>PO03012502</t>
  </si>
  <si>
    <t>PO04012501</t>
  </si>
  <si>
    <t>PO04012502</t>
  </si>
  <si>
    <t>PO05012501</t>
  </si>
  <si>
    <t>PO06012501</t>
  </si>
  <si>
    <t>PO07012501</t>
  </si>
  <si>
    <t>PO08012501</t>
  </si>
  <si>
    <t>PO09012501</t>
  </si>
  <si>
    <t>PO10012501</t>
  </si>
  <si>
    <t>PO11012501</t>
  </si>
  <si>
    <t>PO12012501</t>
  </si>
  <si>
    <t>PO13012501</t>
  </si>
  <si>
    <t>PO14012501</t>
  </si>
  <si>
    <t>PO15012501</t>
  </si>
  <si>
    <t>PO16012501</t>
  </si>
  <si>
    <t>PO18012501</t>
  </si>
  <si>
    <t>PO20012501</t>
  </si>
  <si>
    <t>PO23012501</t>
  </si>
  <si>
    <t>PO26012501</t>
  </si>
  <si>
    <t>PO29012501</t>
  </si>
  <si>
    <t>PO01022501</t>
  </si>
  <si>
    <t>PO01022502</t>
  </si>
  <si>
    <t>PO01022503</t>
  </si>
  <si>
    <t>PO02022501</t>
  </si>
  <si>
    <t>PO02022502</t>
  </si>
  <si>
    <t>PO03022501</t>
  </si>
  <si>
    <t>PO03022502</t>
  </si>
  <si>
    <t>PO04022501</t>
  </si>
  <si>
    <t>PO04022502</t>
  </si>
  <si>
    <t>PO05022501</t>
  </si>
  <si>
    <t>PO05022502</t>
  </si>
  <si>
    <t>PO06022501</t>
  </si>
  <si>
    <t>PO06022502</t>
  </si>
  <si>
    <t>PO07022501</t>
  </si>
  <si>
    <t>PO07022502</t>
  </si>
  <si>
    <t>PO08022501</t>
  </si>
  <si>
    <t>PO08022502</t>
  </si>
  <si>
    <t>PO09022501</t>
  </si>
  <si>
    <t>PO10022501</t>
  </si>
  <si>
    <t>PO10022502</t>
  </si>
  <si>
    <t>PO11022501</t>
  </si>
  <si>
    <t>PO12022501</t>
  </si>
  <si>
    <t>PO13022501</t>
  </si>
  <si>
    <t>PO14022501</t>
  </si>
  <si>
    <t>PO15022501</t>
  </si>
  <si>
    <t>PO01032501</t>
  </si>
  <si>
    <t>PO01032502</t>
  </si>
  <si>
    <t>PO02032501</t>
  </si>
  <si>
    <t>PO03032501</t>
  </si>
  <si>
    <t>PO03032502</t>
  </si>
  <si>
    <t>PO04032501</t>
  </si>
  <si>
    <t>PO05032501</t>
  </si>
  <si>
    <t>PO05032502</t>
  </si>
  <si>
    <t>PO06032501</t>
  </si>
  <si>
    <t>PO07032501</t>
  </si>
  <si>
    <t>PO08032501</t>
  </si>
  <si>
    <t>PO09032501</t>
  </si>
  <si>
    <t>PO10032501</t>
  </si>
  <si>
    <t>PO11032501</t>
  </si>
  <si>
    <t>PO12032501</t>
  </si>
  <si>
    <t>PO13032501</t>
  </si>
  <si>
    <t>PO15032501</t>
  </si>
  <si>
    <t>PO16032501</t>
  </si>
  <si>
    <t>PO18032501</t>
  </si>
  <si>
    <t>PO20032501</t>
  </si>
  <si>
    <t>PO21032501</t>
  </si>
  <si>
    <t>PO23032501</t>
  </si>
  <si>
    <t>PO25032501</t>
  </si>
  <si>
    <t>PO27032501</t>
  </si>
  <si>
    <t>PO29032501</t>
  </si>
  <si>
    <t>PO01042501</t>
  </si>
  <si>
    <t>PO01042502</t>
  </si>
  <si>
    <t>PO01042503</t>
  </si>
  <si>
    <t>PO03042501</t>
  </si>
  <si>
    <t>PO03042502</t>
  </si>
  <si>
    <t>PO03042503</t>
  </si>
  <si>
    <t>PO05042501</t>
  </si>
  <si>
    <t>PO05042502</t>
  </si>
  <si>
    <t>PO05042503</t>
  </si>
  <si>
    <t>PO08042501</t>
  </si>
  <si>
    <t>PO08042502</t>
  </si>
  <si>
    <t>PO08042503</t>
  </si>
  <si>
    <t>PO12042501</t>
  </si>
  <si>
    <t>PO12042502</t>
  </si>
  <si>
    <t>PO12042503</t>
  </si>
  <si>
    <t>PO15042501</t>
  </si>
  <si>
    <t>PO15042502</t>
  </si>
  <si>
    <t>PO15042503</t>
  </si>
  <si>
    <t>PO20042501</t>
  </si>
  <si>
    <t>PO20042502</t>
  </si>
  <si>
    <t>PO20042503</t>
  </si>
  <si>
    <t>PO24042501</t>
  </si>
  <si>
    <t>PO24042502</t>
  </si>
  <si>
    <t>PO24042503</t>
  </si>
  <si>
    <t>PO28042501</t>
  </si>
  <si>
    <t>PO28042502</t>
  </si>
  <si>
    <t>PO28042503</t>
  </si>
  <si>
    <t>PO01052501</t>
  </si>
  <si>
    <t>PO01052502</t>
  </si>
  <si>
    <t>PO02052501</t>
  </si>
  <si>
    <t>PO02052502</t>
  </si>
  <si>
    <t>PO03052501</t>
  </si>
  <si>
    <t>PO03052502</t>
  </si>
  <si>
    <t>PO04052501</t>
  </si>
  <si>
    <t>PO05052501</t>
  </si>
  <si>
    <t>PO06052501</t>
  </si>
  <si>
    <t>PO07052501</t>
  </si>
  <si>
    <t>PO08052501</t>
  </si>
  <si>
    <t>PO09052501</t>
  </si>
  <si>
    <t>PO10052501</t>
  </si>
  <si>
    <t>PO11052501</t>
  </si>
  <si>
    <t>PO12052501</t>
  </si>
  <si>
    <t>PO13052501</t>
  </si>
  <si>
    <t>PO14052501</t>
  </si>
  <si>
    <t>PO15052501</t>
  </si>
  <si>
    <t>PO16052501</t>
  </si>
  <si>
    <t>PO17052501</t>
  </si>
  <si>
    <t>PO18052501</t>
  </si>
  <si>
    <t>PO19052501</t>
  </si>
  <si>
    <t>PO20052501</t>
  </si>
  <si>
    <t>PO21052501</t>
  </si>
  <si>
    <t>PO22052501</t>
  </si>
  <si>
    <t>PO23052501</t>
  </si>
  <si>
    <t>PO24052501</t>
  </si>
  <si>
    <t>PO01062501</t>
  </si>
  <si>
    <t>PO01062502</t>
  </si>
  <si>
    <t>PO02062501</t>
  </si>
  <si>
    <t>PO03062501</t>
  </si>
  <si>
    <t>PO03062502</t>
  </si>
  <si>
    <t>PO04062501</t>
  </si>
  <si>
    <t>PO05062501</t>
  </si>
  <si>
    <t>PO06062501</t>
  </si>
  <si>
    <t>PO07062501</t>
  </si>
  <si>
    <t>PO08062501</t>
  </si>
  <si>
    <t>PO09062501</t>
  </si>
  <si>
    <t>PO10062501</t>
  </si>
  <si>
    <t>PO11062501</t>
  </si>
  <si>
    <t>PO12062501</t>
  </si>
  <si>
    <t>PO13062501</t>
  </si>
  <si>
    <t>PO14062501</t>
  </si>
  <si>
    <t>PO15062501</t>
  </si>
  <si>
    <t>PO16062501</t>
  </si>
  <si>
    <t>PO17062501</t>
  </si>
  <si>
    <t>PO18062501</t>
  </si>
  <si>
    <t>PO19062501</t>
  </si>
  <si>
    <t>PO20062501</t>
  </si>
  <si>
    <t>PO21062501</t>
  </si>
  <si>
    <t>PO22062501</t>
  </si>
  <si>
    <t>PO23062501</t>
  </si>
  <si>
    <t>PO24062501</t>
  </si>
  <si>
    <t>PO01072501</t>
  </si>
  <si>
    <t>PO01072502</t>
  </si>
  <si>
    <t>PO01072503</t>
  </si>
  <si>
    <t>PO02072501</t>
  </si>
  <si>
    <t>PO02072502</t>
  </si>
  <si>
    <t>PO02072503</t>
  </si>
  <si>
    <t>PO03072501</t>
  </si>
  <si>
    <t>PO03072502</t>
  </si>
  <si>
    <t>PO04072501</t>
  </si>
  <si>
    <t>PO04072502</t>
  </si>
  <si>
    <t>PO04072503</t>
  </si>
  <si>
    <t>PO05072501</t>
  </si>
  <si>
    <t>PO05072502</t>
  </si>
  <si>
    <t>PO06072501</t>
  </si>
  <si>
    <t>PO06072502</t>
  </si>
  <si>
    <t>PO07072501</t>
  </si>
  <si>
    <t>PO08072501</t>
  </si>
  <si>
    <t>PO09072501</t>
  </si>
  <si>
    <t>PO10072501</t>
  </si>
  <si>
    <t>PO11072501</t>
  </si>
  <si>
    <t>PO12072501</t>
  </si>
  <si>
    <t>PO13072501</t>
  </si>
  <si>
    <t>PO14072501</t>
  </si>
  <si>
    <t>PO15072501</t>
  </si>
  <si>
    <t>PO16072501</t>
  </si>
  <si>
    <t>PO17072501</t>
  </si>
  <si>
    <t>PO01082501</t>
  </si>
  <si>
    <t>PO02082501</t>
  </si>
  <si>
    <t>PO03082501</t>
  </si>
  <si>
    <t>PO04082501</t>
  </si>
  <si>
    <t>PO05082501</t>
  </si>
  <si>
    <t>PO06082501</t>
  </si>
  <si>
    <t>PO07082501</t>
  </si>
  <si>
    <t>PO08082501</t>
  </si>
  <si>
    <t>PO09082501</t>
  </si>
  <si>
    <t>PO10082501</t>
  </si>
  <si>
    <t>PO11082501</t>
  </si>
  <si>
    <t>PO12082501</t>
  </si>
  <si>
    <t>PO13082501</t>
  </si>
  <si>
    <t>PO14082501</t>
  </si>
  <si>
    <t>PO15082501</t>
  </si>
  <si>
    <t>PO16082501</t>
  </si>
  <si>
    <t>PO17082501</t>
  </si>
  <si>
    <t>PO18082501</t>
  </si>
  <si>
    <t>PO19082501</t>
  </si>
  <si>
    <t>PO20082501</t>
  </si>
  <si>
    <t>PO21082501</t>
  </si>
  <si>
    <t>PO22082501</t>
  </si>
  <si>
    <t>PO23082501</t>
  </si>
  <si>
    <t>PO24082501</t>
  </si>
  <si>
    <t>PO25082501</t>
  </si>
  <si>
    <t>PO01092501</t>
  </si>
  <si>
    <t>PO01092502</t>
  </si>
  <si>
    <t>PO02092501</t>
  </si>
  <si>
    <t>PO03092501</t>
  </si>
  <si>
    <t>PO03092502</t>
  </si>
  <si>
    <t>PO04092501</t>
  </si>
  <si>
    <t>PO05092501</t>
  </si>
  <si>
    <t>PO06092501</t>
  </si>
  <si>
    <t>PO07092501</t>
  </si>
  <si>
    <t>PO08092501</t>
  </si>
  <si>
    <t>PO09092501</t>
  </si>
  <si>
    <t>PO10092501</t>
  </si>
  <si>
    <t>PO10092502</t>
  </si>
  <si>
    <t>PO11092501</t>
  </si>
  <si>
    <t>PO12092501</t>
  </si>
  <si>
    <t>PO13092501</t>
  </si>
  <si>
    <t>PO14092501</t>
  </si>
  <si>
    <t>PO15092501</t>
  </si>
  <si>
    <t>PO16092501</t>
  </si>
  <si>
    <t>PO17092501</t>
  </si>
  <si>
    <t>PO18092501</t>
  </si>
  <si>
    <t>PO19092501</t>
  </si>
  <si>
    <t>PO20092501</t>
  </si>
  <si>
    <t>PO21092501</t>
  </si>
  <si>
    <t>PO22092501</t>
  </si>
  <si>
    <t>PO23092501</t>
  </si>
  <si>
    <t>PO24092501</t>
  </si>
  <si>
    <t>PO01102501</t>
  </si>
  <si>
    <t>PO02102501</t>
  </si>
  <si>
    <t>PO03102501</t>
  </si>
  <si>
    <t>PO04102501</t>
  </si>
  <si>
    <t>PO05102501</t>
  </si>
  <si>
    <t>PO06102501</t>
  </si>
  <si>
    <t>PO07102501</t>
  </si>
  <si>
    <t>PO08102501</t>
  </si>
  <si>
    <t>PO09102501</t>
  </si>
  <si>
    <t>PO10102501</t>
  </si>
  <si>
    <t>PO11102501</t>
  </si>
  <si>
    <t>PO12102501</t>
  </si>
  <si>
    <t>PO13102501</t>
  </si>
  <si>
    <t>PO14102501</t>
  </si>
  <si>
    <t>PO15102501</t>
  </si>
  <si>
    <t>PO16102501</t>
  </si>
  <si>
    <t>PO17102501</t>
  </si>
  <si>
    <t>PO18102501</t>
  </si>
  <si>
    <t>PO19102501</t>
  </si>
  <si>
    <t>PO20102501</t>
  </si>
  <si>
    <t>PO21102501</t>
  </si>
  <si>
    <t>PO22102501</t>
  </si>
  <si>
    <t>PO23102501</t>
  </si>
  <si>
    <t>PO24102501</t>
  </si>
  <si>
    <t>PO25102501</t>
  </si>
  <si>
    <t>PO01112501</t>
  </si>
  <si>
    <t>PO01112502</t>
  </si>
  <si>
    <t>PO01112503</t>
  </si>
  <si>
    <t>PO02112501</t>
  </si>
  <si>
    <t>PO02112502</t>
  </si>
  <si>
    <t>PO03112501</t>
  </si>
  <si>
    <t>PO03112502</t>
  </si>
  <si>
    <t>PO04112501</t>
  </si>
  <si>
    <t>PO04112502</t>
  </si>
  <si>
    <t>PO05112501</t>
  </si>
  <si>
    <t>PO06112501</t>
  </si>
  <si>
    <t>PO07112501</t>
  </si>
  <si>
    <t>PO08112501</t>
  </si>
  <si>
    <t>PO09112501</t>
  </si>
  <si>
    <t>PO10112501</t>
  </si>
  <si>
    <t>PO11112501</t>
  </si>
  <si>
    <t>PO12112501</t>
  </si>
  <si>
    <t>PO13112501</t>
  </si>
  <si>
    <t>PO14112501</t>
  </si>
  <si>
    <t>PO15112501</t>
  </si>
  <si>
    <t>PO16112501</t>
  </si>
  <si>
    <t>PO17112501</t>
  </si>
  <si>
    <t>PO18112501</t>
  </si>
  <si>
    <t>PO19112501</t>
  </si>
  <si>
    <t>PO20112501</t>
  </si>
  <si>
    <t>PO21112501</t>
  </si>
  <si>
    <t>PO01122501</t>
  </si>
  <si>
    <t>PO01122502</t>
  </si>
  <si>
    <t>PO01122503</t>
  </si>
  <si>
    <t>PO02122501</t>
  </si>
  <si>
    <t>PO02122502</t>
  </si>
  <si>
    <t>PO03122501</t>
  </si>
  <si>
    <t>PO03122502</t>
  </si>
  <si>
    <t>PO04122501</t>
  </si>
  <si>
    <t>PO04122502</t>
  </si>
  <si>
    <t>PO05122501</t>
  </si>
  <si>
    <t>PO05122502</t>
  </si>
  <si>
    <t>PO06122501</t>
  </si>
  <si>
    <t>PO06122502</t>
  </si>
  <si>
    <t>PO07122501</t>
  </si>
  <si>
    <t>PO08122501</t>
  </si>
  <si>
    <t>PO09122501</t>
  </si>
  <si>
    <t>PO10122501</t>
  </si>
  <si>
    <t>PO11122501</t>
  </si>
  <si>
    <t>PO12122501</t>
  </si>
  <si>
    <t>PO13122501</t>
  </si>
  <si>
    <t>PO14122501</t>
  </si>
  <si>
    <t>PO15122501</t>
  </si>
  <si>
    <t>PO16122501</t>
  </si>
  <si>
    <t>PO17122501</t>
  </si>
  <si>
    <t>PO18122501</t>
  </si>
  <si>
    <t>PO19122501</t>
  </si>
  <si>
    <t>PO20122501</t>
  </si>
  <si>
    <t>No DO</t>
  </si>
  <si>
    <t>Tanggal DO</t>
  </si>
  <si>
    <t>DO030125001</t>
  </si>
  <si>
    <t>DO040125002</t>
  </si>
  <si>
    <t>DO050125003</t>
  </si>
  <si>
    <t>DO050125004</t>
  </si>
  <si>
    <t>DO060125005</t>
  </si>
  <si>
    <t>DO070125006</t>
  </si>
  <si>
    <t>DO070125007</t>
  </si>
  <si>
    <t>DO080125008</t>
  </si>
  <si>
    <t>DO090125009</t>
  </si>
  <si>
    <t>DO100125010</t>
  </si>
  <si>
    <t>DO110125011</t>
  </si>
  <si>
    <t>DO120125012</t>
  </si>
  <si>
    <t>DO130125013</t>
  </si>
  <si>
    <t>DO140125014</t>
  </si>
  <si>
    <t>DO150125015</t>
  </si>
  <si>
    <t>DO160125016</t>
  </si>
  <si>
    <t>DO170125017</t>
  </si>
  <si>
    <t>DO180125018</t>
  </si>
  <si>
    <t>DO190125019</t>
  </si>
  <si>
    <t>DO200125020</t>
  </si>
  <si>
    <t>DO220125021</t>
  </si>
  <si>
    <t>DO240125022</t>
  </si>
  <si>
    <t>DO260125023</t>
  </si>
  <si>
    <t>DO290125024</t>
  </si>
  <si>
    <t>DO030325001</t>
  </si>
  <si>
    <t>DO040325002</t>
  </si>
  <si>
    <t>DO050325003</t>
  </si>
  <si>
    <t>DO060325004</t>
  </si>
  <si>
    <t>DO060325005</t>
  </si>
  <si>
    <t>DO070325006</t>
  </si>
  <si>
    <t>DO080325007</t>
  </si>
  <si>
    <t>DO080325008</t>
  </si>
  <si>
    <t>DO090325009</t>
  </si>
  <si>
    <t>DO100325010</t>
  </si>
  <si>
    <t>DO110325011</t>
  </si>
  <si>
    <t>DO120325012</t>
  </si>
  <si>
    <t>DO130325013</t>
  </si>
  <si>
    <t>DO140325014</t>
  </si>
  <si>
    <t>DO150325015</t>
  </si>
  <si>
    <t>DO160325016</t>
  </si>
  <si>
    <t>DO180325017</t>
  </si>
  <si>
    <t>DO190325018</t>
  </si>
  <si>
    <t>DO210325019</t>
  </si>
  <si>
    <t>DO230325020</t>
  </si>
  <si>
    <t>DO240325021</t>
  </si>
  <si>
    <t>DO260325022</t>
  </si>
  <si>
    <t>DO280325023</t>
  </si>
  <si>
    <t>DO300325024</t>
  </si>
  <si>
    <t>DO310325025</t>
  </si>
  <si>
    <t>DO030425001</t>
  </si>
  <si>
    <t>DO040425002</t>
  </si>
  <si>
    <t>DO010525001</t>
  </si>
  <si>
    <t>DO030725001</t>
  </si>
  <si>
    <t>DO040725002</t>
  </si>
  <si>
    <t>No Invoice</t>
  </si>
  <si>
    <t>Tanggal Invoice</t>
  </si>
  <si>
    <t>Harga/kg (Rp)</t>
  </si>
  <si>
    <t>Total (Rp)</t>
  </si>
  <si>
    <t>INV030125001</t>
  </si>
  <si>
    <t>INV040125002</t>
  </si>
  <si>
    <t>INV050125003</t>
  </si>
  <si>
    <t>INV050125004</t>
  </si>
  <si>
    <t>INV060125005</t>
  </si>
  <si>
    <t>INV070125006</t>
  </si>
  <si>
    <t>INV070125007</t>
  </si>
  <si>
    <t>INV080125008</t>
  </si>
  <si>
    <t>INV090125009</t>
  </si>
  <si>
    <t>INV100125010</t>
  </si>
  <si>
    <t>INV110125011</t>
  </si>
  <si>
    <t>INV120125012</t>
  </si>
  <si>
    <t>INV130125013</t>
  </si>
  <si>
    <t>INV140125014</t>
  </si>
  <si>
    <t>INV150125015</t>
  </si>
  <si>
    <t>INV160125016</t>
  </si>
  <si>
    <t>INV170125017</t>
  </si>
  <si>
    <t>INV180125018</t>
  </si>
  <si>
    <t>INV190125019</t>
  </si>
  <si>
    <t>INV200125020</t>
  </si>
  <si>
    <t>INV220125021</t>
  </si>
  <si>
    <t>INV240125022</t>
  </si>
  <si>
    <t>INV260125023</t>
  </si>
  <si>
    <t>INV290125024</t>
  </si>
  <si>
    <t>INV030325001</t>
  </si>
  <si>
    <t>INV040325002</t>
  </si>
  <si>
    <t>INV050325003</t>
  </si>
  <si>
    <t>INV060325004</t>
  </si>
  <si>
    <t>INV060325005</t>
  </si>
  <si>
    <t>INV070325006</t>
  </si>
  <si>
    <t>INV080325007</t>
  </si>
  <si>
    <t>INV080325008</t>
  </si>
  <si>
    <t>INV090325009</t>
  </si>
  <si>
    <t>INV100325010</t>
  </si>
  <si>
    <t>INV110325011</t>
  </si>
  <si>
    <t>INV120325012</t>
  </si>
  <si>
    <t>INV130325013</t>
  </si>
  <si>
    <t>INV140325014</t>
  </si>
  <si>
    <t>INV150325015</t>
  </si>
  <si>
    <t>INV160325016</t>
  </si>
  <si>
    <t>INV180325017</t>
  </si>
  <si>
    <t>INV190325018</t>
  </si>
  <si>
    <t>INV210325019</t>
  </si>
  <si>
    <t>INV230325020</t>
  </si>
  <si>
    <t>INV240325021</t>
  </si>
  <si>
    <t>INV260325022</t>
  </si>
  <si>
    <t>INV280325023</t>
  </si>
  <si>
    <t>INV300325024</t>
  </si>
  <si>
    <t>INV310325025</t>
  </si>
  <si>
    <t>INV030425001</t>
  </si>
  <si>
    <t>INV040425002</t>
  </si>
  <si>
    <t>INV010525001</t>
  </si>
  <si>
    <t>INV030725001</t>
  </si>
  <si>
    <t>INV040725002</t>
  </si>
  <si>
    <t>Harga per Kg</t>
  </si>
  <si>
    <t>Tanggal Input</t>
  </si>
  <si>
    <t>DO010225001</t>
  </si>
  <si>
    <t>DO030225002</t>
  </si>
  <si>
    <t>DO040225003</t>
  </si>
  <si>
    <t>DO050225004</t>
  </si>
  <si>
    <t>DO050225005</t>
  </si>
  <si>
    <t>DO060225006</t>
  </si>
  <si>
    <t>DO060225007</t>
  </si>
  <si>
    <t>DO070225008</t>
  </si>
  <si>
    <t>DO070225009</t>
  </si>
  <si>
    <t>DO080225010</t>
  </si>
  <si>
    <t>DO080225011</t>
  </si>
  <si>
    <t>DO090225012</t>
  </si>
  <si>
    <t>DO090225013</t>
  </si>
  <si>
    <t>DO100225014</t>
  </si>
  <si>
    <t>DO100225015</t>
  </si>
  <si>
    <t>DO110225016</t>
  </si>
  <si>
    <t>DO110225017</t>
  </si>
  <si>
    <t>DO120225018</t>
  </si>
  <si>
    <t>DO120225019</t>
  </si>
  <si>
    <t>DO130225020</t>
  </si>
  <si>
    <t>DO130225021</t>
  </si>
  <si>
    <t>DO140225022</t>
  </si>
  <si>
    <t>DO150225023</t>
  </si>
  <si>
    <t>DO160225024</t>
  </si>
  <si>
    <t>DO170225025</t>
  </si>
  <si>
    <t>DO180225026</t>
  </si>
  <si>
    <t>DO040425003</t>
  </si>
  <si>
    <t>DO060425004</t>
  </si>
  <si>
    <t>DO060425005</t>
  </si>
  <si>
    <t>DO070425006</t>
  </si>
  <si>
    <t>DO080425007</t>
  </si>
  <si>
    <t>DO080425008</t>
  </si>
  <si>
    <t>DO090425009</t>
  </si>
  <si>
    <t>DO100425010</t>
  </si>
  <si>
    <t>DO110425011</t>
  </si>
  <si>
    <t>DO110425012</t>
  </si>
  <si>
    <t>DO150425013</t>
  </si>
  <si>
    <t>DO150425014</t>
  </si>
  <si>
    <t>DO160425015</t>
  </si>
  <si>
    <t>DO180425016</t>
  </si>
  <si>
    <t>DO180425017</t>
  </si>
  <si>
    <t>DO190425018</t>
  </si>
  <si>
    <t>DO230425019</t>
  </si>
  <si>
    <t>DO230425020</t>
  </si>
  <si>
    <t>DO240425021</t>
  </si>
  <si>
    <t>DO270425022</t>
  </si>
  <si>
    <t>DO270425023</t>
  </si>
  <si>
    <t>DO280425024</t>
  </si>
  <si>
    <t>DO300425025</t>
  </si>
  <si>
    <t>DO300425026</t>
  </si>
  <si>
    <t>DO040525002</t>
  </si>
  <si>
    <t>DO040525003</t>
  </si>
  <si>
    <t>DO050525004</t>
  </si>
  <si>
    <t>DO060525005</t>
  </si>
  <si>
    <t>DO070525006</t>
  </si>
  <si>
    <t>DO070525007</t>
  </si>
  <si>
    <t>DO080525008</t>
  </si>
  <si>
    <t>DO090525009</t>
  </si>
  <si>
    <t>DO100525010</t>
  </si>
  <si>
    <t>DO110525011</t>
  </si>
  <si>
    <t>DO120525012</t>
  </si>
  <si>
    <t>DO130525013</t>
  </si>
  <si>
    <t>DO140525014</t>
  </si>
  <si>
    <t>DO150525015</t>
  </si>
  <si>
    <t>DO160525016</t>
  </si>
  <si>
    <t>DO170525017</t>
  </si>
  <si>
    <t>DO180525018</t>
  </si>
  <si>
    <t>DO190525019</t>
  </si>
  <si>
    <t>DO200525020</t>
  </si>
  <si>
    <t>DO210525021</t>
  </si>
  <si>
    <t>DO220525022</t>
  </si>
  <si>
    <t>DO230525023</t>
  </si>
  <si>
    <t>DO240525024</t>
  </si>
  <si>
    <t>DO250525025</t>
  </si>
  <si>
    <t>DO260525026</t>
  </si>
  <si>
    <t>DO270525027</t>
  </si>
  <si>
    <t>DO280525028</t>
  </si>
  <si>
    <t>DO030625001</t>
  </si>
  <si>
    <t>DO040625002</t>
  </si>
  <si>
    <t>DO050625003</t>
  </si>
  <si>
    <t>DO060625004</t>
  </si>
  <si>
    <t>DO070625005</t>
  </si>
  <si>
    <t>DO080625006</t>
  </si>
  <si>
    <t>DO090625007</t>
  </si>
  <si>
    <t>DO100625008</t>
  </si>
  <si>
    <t>DO110625009</t>
  </si>
  <si>
    <t>DO120625010</t>
  </si>
  <si>
    <t>DO130625011</t>
  </si>
  <si>
    <t>DO140625012</t>
  </si>
  <si>
    <t>DO150625013</t>
  </si>
  <si>
    <t>DO160625014</t>
  </si>
  <si>
    <t>DO170625015</t>
  </si>
  <si>
    <t>DO180625016</t>
  </si>
  <si>
    <t>DO190625017</t>
  </si>
  <si>
    <t>DO200625018</t>
  </si>
  <si>
    <t>DO210625019</t>
  </si>
  <si>
    <t>DO220625020</t>
  </si>
  <si>
    <t>DO230625021</t>
  </si>
  <si>
    <t>DO240625022</t>
  </si>
  <si>
    <t>DO250625023</t>
  </si>
  <si>
    <t>DO260625024</t>
  </si>
  <si>
    <t>DO270625025</t>
  </si>
  <si>
    <t>DO280625026</t>
  </si>
  <si>
    <t>DO040725003</t>
  </si>
  <si>
    <t>DO050725004</t>
  </si>
  <si>
    <t>DO050725005</t>
  </si>
  <si>
    <t>DO060725006</t>
  </si>
  <si>
    <t>DO060725007</t>
  </si>
  <si>
    <t>DO070725008</t>
  </si>
  <si>
    <t>DO070725009</t>
  </si>
  <si>
    <t>DO080725010</t>
  </si>
  <si>
    <t>DO080725011</t>
  </si>
  <si>
    <t>DO080725012</t>
  </si>
  <si>
    <t>DO090725013</t>
  </si>
  <si>
    <t>DO090725014</t>
  </si>
  <si>
    <t>DO100725015</t>
  </si>
  <si>
    <t>DO100725016</t>
  </si>
  <si>
    <t>DO110725017</t>
  </si>
  <si>
    <t>DO120725018</t>
  </si>
  <si>
    <t>DO130725019</t>
  </si>
  <si>
    <t>DO140725020</t>
  </si>
  <si>
    <t>DO150725021</t>
  </si>
  <si>
    <t>DO160725022</t>
  </si>
  <si>
    <t>DO170725023</t>
  </si>
  <si>
    <t>DO180725024</t>
  </si>
  <si>
    <t>DO190725025</t>
  </si>
  <si>
    <t>DO200725026</t>
  </si>
  <si>
    <t>DO030825001</t>
  </si>
  <si>
    <t>DO040825002</t>
  </si>
  <si>
    <t>DO050825003</t>
  </si>
  <si>
    <t>DO060825004</t>
  </si>
  <si>
    <t>DO070825005</t>
  </si>
  <si>
    <t>DO080825006</t>
  </si>
  <si>
    <t>DO090825007</t>
  </si>
  <si>
    <t>DO100825008</t>
  </si>
  <si>
    <t>DO110825009</t>
  </si>
  <si>
    <t>DO120825010</t>
  </si>
  <si>
    <t>DO130825011</t>
  </si>
  <si>
    <t>DO140825012</t>
  </si>
  <si>
    <t>DO150825013</t>
  </si>
  <si>
    <t>DO160825014</t>
  </si>
  <si>
    <t>DO170825015</t>
  </si>
  <si>
    <t>DO180825016</t>
  </si>
  <si>
    <t>DO190825017</t>
  </si>
  <si>
    <t>DO200825018</t>
  </si>
  <si>
    <t>DO210825019</t>
  </si>
  <si>
    <t>DO220825020</t>
  </si>
  <si>
    <t>DO230825021</t>
  </si>
  <si>
    <t>DO240825022</t>
  </si>
  <si>
    <t>DO250825023</t>
  </si>
  <si>
    <t>DO260825024</t>
  </si>
  <si>
    <t>DO270825025</t>
  </si>
  <si>
    <t>DO030925001</t>
  </si>
  <si>
    <t>DO040925002</t>
  </si>
  <si>
    <t>DO050925003</t>
  </si>
  <si>
    <t>DO060925004</t>
  </si>
  <si>
    <t>DO070925005</t>
  </si>
  <si>
    <t>DO070925006</t>
  </si>
  <si>
    <t>DO080925007</t>
  </si>
  <si>
    <t>DO090925008</t>
  </si>
  <si>
    <t>DO100925009</t>
  </si>
  <si>
    <t>DO110925010</t>
  </si>
  <si>
    <t>DO120925011</t>
  </si>
  <si>
    <t>DO130925012</t>
  </si>
  <si>
    <t>DO130925013</t>
  </si>
  <si>
    <t>DO140925014</t>
  </si>
  <si>
    <t>DO150925015</t>
  </si>
  <si>
    <t>DO160925016</t>
  </si>
  <si>
    <t>DO170925017</t>
  </si>
  <si>
    <t>DO180925018</t>
  </si>
  <si>
    <t>DO190925019</t>
  </si>
  <si>
    <t>DO200925020</t>
  </si>
  <si>
    <t>DO210925021</t>
  </si>
  <si>
    <t>DO220925022</t>
  </si>
  <si>
    <t>DO230925023</t>
  </si>
  <si>
    <t>DO240925024</t>
  </si>
  <si>
    <t>DO250925025</t>
  </si>
  <si>
    <t>DO260925026</t>
  </si>
  <si>
    <t>DO270925027</t>
  </si>
  <si>
    <t>DO031025001</t>
  </si>
  <si>
    <t>DO051025002</t>
  </si>
  <si>
    <t>DO061025003</t>
  </si>
  <si>
    <t>DO071025004</t>
  </si>
  <si>
    <t>DO081025005</t>
  </si>
  <si>
    <t>DO091025006</t>
  </si>
  <si>
    <t>DO101025007</t>
  </si>
  <si>
    <t>DO111025008</t>
  </si>
  <si>
    <t>DO121025009</t>
  </si>
  <si>
    <t>DO131025010</t>
  </si>
  <si>
    <t>DO141025011</t>
  </si>
  <si>
    <t>DO151025012</t>
  </si>
  <si>
    <t>DO161025013</t>
  </si>
  <si>
    <t>DO171025014</t>
  </si>
  <si>
    <t>DO181025015</t>
  </si>
  <si>
    <t>DO191025016</t>
  </si>
  <si>
    <t>DO201025017</t>
  </si>
  <si>
    <t>DO211025018</t>
  </si>
  <si>
    <t>DO221025019</t>
  </si>
  <si>
    <t>DO231025020</t>
  </si>
  <si>
    <t>DO241025021</t>
  </si>
  <si>
    <t>DO251025022</t>
  </si>
  <si>
    <t>DO261025023</t>
  </si>
  <si>
    <t>DO271025024</t>
  </si>
  <si>
    <t>DO281025025</t>
  </si>
  <si>
    <t>DO031125001</t>
  </si>
  <si>
    <t>DO041125002</t>
  </si>
  <si>
    <t>DO041125003</t>
  </si>
  <si>
    <t>DO051125004</t>
  </si>
  <si>
    <t>DO051125005</t>
  </si>
  <si>
    <t>DO061125006</t>
  </si>
  <si>
    <t>DO061125007</t>
  </si>
  <si>
    <t>DO071125008</t>
  </si>
  <si>
    <t>DO071125009</t>
  </si>
  <si>
    <t>DO081125010</t>
  </si>
  <si>
    <t>DO091125011</t>
  </si>
  <si>
    <t>DO101125012</t>
  </si>
  <si>
    <t>DO111125013</t>
  </si>
  <si>
    <t>DO121125014</t>
  </si>
  <si>
    <t>DO131125015</t>
  </si>
  <si>
    <t>DO141125016</t>
  </si>
  <si>
    <t>DO151125017</t>
  </si>
  <si>
    <t>DO161125018</t>
  </si>
  <si>
    <t>DO171125019</t>
  </si>
  <si>
    <t>DO181125020</t>
  </si>
  <si>
    <t>DO191125021</t>
  </si>
  <si>
    <t>DO201125022</t>
  </si>
  <si>
    <t>DO211125023</t>
  </si>
  <si>
    <t>DO221125024</t>
  </si>
  <si>
    <t>DO231125025</t>
  </si>
  <si>
    <t>DO241125026</t>
  </si>
  <si>
    <t>DO031225001</t>
  </si>
  <si>
    <t>DO041225002</t>
  </si>
  <si>
    <t>DO041225003</t>
  </si>
  <si>
    <t>DO051225004</t>
  </si>
  <si>
    <t>DO051225005</t>
  </si>
  <si>
    <t>DO061225006</t>
  </si>
  <si>
    <t>DO061225007</t>
  </si>
  <si>
    <t>DO071225008</t>
  </si>
  <si>
    <t>DO071225009</t>
  </si>
  <si>
    <t>DO081225010</t>
  </si>
  <si>
    <t>DO081225011</t>
  </si>
  <si>
    <t>DO091225012</t>
  </si>
  <si>
    <t>DO091225013</t>
  </si>
  <si>
    <t>DO101225014</t>
  </si>
  <si>
    <t>DO111225015</t>
  </si>
  <si>
    <t>DO121225016</t>
  </si>
  <si>
    <t>DO131225017</t>
  </si>
  <si>
    <t>DO141225018</t>
  </si>
  <si>
    <t>DO151225019</t>
  </si>
  <si>
    <t>DO161225020</t>
  </si>
  <si>
    <t>DO171225021</t>
  </si>
  <si>
    <t>DO181225022</t>
  </si>
  <si>
    <t>DO191225023</t>
  </si>
  <si>
    <t>DO201225024</t>
  </si>
  <si>
    <t>DO211225025</t>
  </si>
  <si>
    <t>DO221225026</t>
  </si>
  <si>
    <t>DO231225027</t>
  </si>
  <si>
    <t>INV010225001</t>
  </si>
  <si>
    <t>INV030225002</t>
  </si>
  <si>
    <t>INV040225003</t>
  </si>
  <si>
    <t>INV050225004</t>
  </si>
  <si>
    <t>INV050225005</t>
  </si>
  <si>
    <t>INV060225006</t>
  </si>
  <si>
    <t>INV060225007</t>
  </si>
  <si>
    <t>INV070225008</t>
  </si>
  <si>
    <t>INV070225009</t>
  </si>
  <si>
    <t>INV080225010</t>
  </si>
  <si>
    <t>INV080225011</t>
  </si>
  <si>
    <t>INV090225012</t>
  </si>
  <si>
    <t>INV090225013</t>
  </si>
  <si>
    <t>INV100225014</t>
  </si>
  <si>
    <t>INV100225015</t>
  </si>
  <si>
    <t>INV110225016</t>
  </si>
  <si>
    <t>INV110225017</t>
  </si>
  <si>
    <t>INV120225018</t>
  </si>
  <si>
    <t>INV120225019</t>
  </si>
  <si>
    <t>INV130225020</t>
  </si>
  <si>
    <t>INV130225021</t>
  </si>
  <si>
    <t>INV140225022</t>
  </si>
  <si>
    <t>INV150225023</t>
  </si>
  <si>
    <t>INV160225024</t>
  </si>
  <si>
    <t>INV170225025</t>
  </si>
  <si>
    <t>INV180225026</t>
  </si>
  <si>
    <t>INV040425003</t>
  </si>
  <si>
    <t>INV060425004</t>
  </si>
  <si>
    <t>INV060425005</t>
  </si>
  <si>
    <t>INV070425006</t>
  </si>
  <si>
    <t>INV080425007</t>
  </si>
  <si>
    <t>INV080425008</t>
  </si>
  <si>
    <t>INV090425009</t>
  </si>
  <si>
    <t>INV100425010</t>
  </si>
  <si>
    <t>INV110425011</t>
  </si>
  <si>
    <t>INV110425012</t>
  </si>
  <si>
    <t>INV150425013</t>
  </si>
  <si>
    <t>INV150425014</t>
  </si>
  <si>
    <t>INV160425015</t>
  </si>
  <si>
    <t>INV180425016</t>
  </si>
  <si>
    <t>INV180425017</t>
  </si>
  <si>
    <t>INV190425018</t>
  </si>
  <si>
    <t>INV230425019</t>
  </si>
  <si>
    <t>INV230425020</t>
  </si>
  <si>
    <t>INV240425021</t>
  </si>
  <si>
    <t>INV270425022</t>
  </si>
  <si>
    <t>INV270425023</t>
  </si>
  <si>
    <t>INV280425024</t>
  </si>
  <si>
    <t>INV300425025</t>
  </si>
  <si>
    <t>INV300425026</t>
  </si>
  <si>
    <t>INV040525002</t>
  </si>
  <si>
    <t>INV040525003</t>
  </si>
  <si>
    <t>INV050525004</t>
  </si>
  <si>
    <t>INV060525005</t>
  </si>
  <si>
    <t>INV070525006</t>
  </si>
  <si>
    <t>INV070525007</t>
  </si>
  <si>
    <t>INV080525008</t>
  </si>
  <si>
    <t>INV090525009</t>
  </si>
  <si>
    <t>INV100525010</t>
  </si>
  <si>
    <t>INV110525011</t>
  </si>
  <si>
    <t>INV120525012</t>
  </si>
  <si>
    <t>INV130525013</t>
  </si>
  <si>
    <t>INV140525014</t>
  </si>
  <si>
    <t>INV150525015</t>
  </si>
  <si>
    <t>INV160525016</t>
  </si>
  <si>
    <t>INV170525017</t>
  </si>
  <si>
    <t>INV180525018</t>
  </si>
  <si>
    <t>INV190525019</t>
  </si>
  <si>
    <t>INV200525020</t>
  </si>
  <si>
    <t>INV210525021</t>
  </si>
  <si>
    <t>INV220525022</t>
  </si>
  <si>
    <t>INV230525023</t>
  </si>
  <si>
    <t>INV240525024</t>
  </si>
  <si>
    <t>INV250525025</t>
  </si>
  <si>
    <t>INV260525026</t>
  </si>
  <si>
    <t>INV270525027</t>
  </si>
  <si>
    <t>INV280525028</t>
  </si>
  <si>
    <t>INV030625001</t>
  </si>
  <si>
    <t>INV040625002</t>
  </si>
  <si>
    <t>INV050625003</t>
  </si>
  <si>
    <t>INV060625004</t>
  </si>
  <si>
    <t>INV070625005</t>
  </si>
  <si>
    <t>INV080625006</t>
  </si>
  <si>
    <t>INV090625007</t>
  </si>
  <si>
    <t>INV100625008</t>
  </si>
  <si>
    <t>INV110625009</t>
  </si>
  <si>
    <t>INV120625010</t>
  </si>
  <si>
    <t>INV130625011</t>
  </si>
  <si>
    <t>INV140625012</t>
  </si>
  <si>
    <t>INV150625013</t>
  </si>
  <si>
    <t>INV160625014</t>
  </si>
  <si>
    <t>INV170625015</t>
  </si>
  <si>
    <t>INV180625016</t>
  </si>
  <si>
    <t>INV190625017</t>
  </si>
  <si>
    <t>INV200625018</t>
  </si>
  <si>
    <t>INV210625019</t>
  </si>
  <si>
    <t>INV220625020</t>
  </si>
  <si>
    <t>INV230625021</t>
  </si>
  <si>
    <t>INV240625022</t>
  </si>
  <si>
    <t>INV250625023</t>
  </si>
  <si>
    <t>INV260625024</t>
  </si>
  <si>
    <t>INV270625025</t>
  </si>
  <si>
    <t>INV280625026</t>
  </si>
  <si>
    <t>INV040725003</t>
  </si>
  <si>
    <t>INV050725004</t>
  </si>
  <si>
    <t>INV050725005</t>
  </si>
  <si>
    <t>INV060725006</t>
  </si>
  <si>
    <t>INV060725007</t>
  </si>
  <si>
    <t>INV070725008</t>
  </si>
  <si>
    <t>INV070725009</t>
  </si>
  <si>
    <t>INV080725010</t>
  </si>
  <si>
    <t>INV080725011</t>
  </si>
  <si>
    <t>INV080725012</t>
  </si>
  <si>
    <t>INV090725013</t>
  </si>
  <si>
    <t>INV090725014</t>
  </si>
  <si>
    <t>INV100725015</t>
  </si>
  <si>
    <t>INV100725016</t>
  </si>
  <si>
    <t>INV110725017</t>
  </si>
  <si>
    <t>INV120725018</t>
  </si>
  <si>
    <t>INV130725019</t>
  </si>
  <si>
    <t>INV140725020</t>
  </si>
  <si>
    <t>INV150720021</t>
  </si>
  <si>
    <t>INV160720022</t>
  </si>
  <si>
    <t>INV170720023</t>
  </si>
  <si>
    <t>INV180725024</t>
  </si>
  <si>
    <t>INV190725025</t>
  </si>
  <si>
    <t>INV200725026</t>
  </si>
  <si>
    <t>INV030825001</t>
  </si>
  <si>
    <t>INV040825002</t>
  </si>
  <si>
    <t>INV050825003</t>
  </si>
  <si>
    <t>INV060825004</t>
  </si>
  <si>
    <t>INV070825005</t>
  </si>
  <si>
    <t>INV080825006</t>
  </si>
  <si>
    <t>INV090825007</t>
  </si>
  <si>
    <t>INV100825008</t>
  </si>
  <si>
    <t>INV110825009</t>
  </si>
  <si>
    <t>INV120825010</t>
  </si>
  <si>
    <t>INV130825011</t>
  </si>
  <si>
    <t>INV140825012</t>
  </si>
  <si>
    <t>INV150825013</t>
  </si>
  <si>
    <t>INV160825014</t>
  </si>
  <si>
    <t>INV170825015</t>
  </si>
  <si>
    <t>INV180825016</t>
  </si>
  <si>
    <t>INV190825017</t>
  </si>
  <si>
    <t>INV200825018</t>
  </si>
  <si>
    <t>INV210825019</t>
  </si>
  <si>
    <t>INV220825020</t>
  </si>
  <si>
    <t>INV230825021</t>
  </si>
  <si>
    <t>INV240825022</t>
  </si>
  <si>
    <t>INV250825023</t>
  </si>
  <si>
    <t>INV260825024</t>
  </si>
  <si>
    <t>INV270825025</t>
  </si>
  <si>
    <t>INV030925001</t>
  </si>
  <si>
    <t>INV040925002</t>
  </si>
  <si>
    <t>INV050925003</t>
  </si>
  <si>
    <t>INV060925004</t>
  </si>
  <si>
    <t>INV070925005</t>
  </si>
  <si>
    <t>INV070925006</t>
  </si>
  <si>
    <t>INV080925007</t>
  </si>
  <si>
    <t>INV090925008</t>
  </si>
  <si>
    <t>INV100925009</t>
  </si>
  <si>
    <t>INV110925010</t>
  </si>
  <si>
    <t>INV120925011</t>
  </si>
  <si>
    <t>INV130925012</t>
  </si>
  <si>
    <t>INV130925013</t>
  </si>
  <si>
    <t>INV140925014</t>
  </si>
  <si>
    <t>INV150925015</t>
  </si>
  <si>
    <t>INV160925016</t>
  </si>
  <si>
    <t>INV170925017</t>
  </si>
  <si>
    <t>INV180925018</t>
  </si>
  <si>
    <t>INV190925019</t>
  </si>
  <si>
    <t>INV200925020</t>
  </si>
  <si>
    <t>INV210925021</t>
  </si>
  <si>
    <t>INV220925022</t>
  </si>
  <si>
    <t>INV230925023</t>
  </si>
  <si>
    <t>INV240925024</t>
  </si>
  <si>
    <t>INV250925025</t>
  </si>
  <si>
    <t>INV260925026</t>
  </si>
  <si>
    <t>INV270925027</t>
  </si>
  <si>
    <t>INV031025001</t>
  </si>
  <si>
    <t>INV051025002</t>
  </si>
  <si>
    <t>INV061025003</t>
  </si>
  <si>
    <t>INV071025004</t>
  </si>
  <si>
    <t>INV081025005</t>
  </si>
  <si>
    <t>INV091025006</t>
  </si>
  <si>
    <t>INV101025007</t>
  </si>
  <si>
    <t>INV111025008</t>
  </si>
  <si>
    <t>INV121025009</t>
  </si>
  <si>
    <t>INV131025010</t>
  </si>
  <si>
    <t>INV141025011</t>
  </si>
  <si>
    <t>INV151025012</t>
  </si>
  <si>
    <t>INV161025013</t>
  </si>
  <si>
    <t>INV171025014</t>
  </si>
  <si>
    <t>INV181025015</t>
  </si>
  <si>
    <t>INV191025016</t>
  </si>
  <si>
    <t>INV201025017</t>
  </si>
  <si>
    <t>INV211025018</t>
  </si>
  <si>
    <t>INV221025019</t>
  </si>
  <si>
    <t>INV231025020</t>
  </si>
  <si>
    <t>INV241025021</t>
  </si>
  <si>
    <t>INV251025022</t>
  </si>
  <si>
    <t>INV261025023</t>
  </si>
  <si>
    <t>INV271025024</t>
  </si>
  <si>
    <t>INV281025025</t>
  </si>
  <si>
    <t>INV031125001</t>
  </si>
  <si>
    <t>INV041125002</t>
  </si>
  <si>
    <t>INV041125003</t>
  </si>
  <si>
    <t>INV051125004</t>
  </si>
  <si>
    <t>INV051125005</t>
  </si>
  <si>
    <t>INV061125006</t>
  </si>
  <si>
    <t>INV061125007</t>
  </si>
  <si>
    <t>INV071125008</t>
  </si>
  <si>
    <t>INV071125009</t>
  </si>
  <si>
    <t>INV081125010</t>
  </si>
  <si>
    <t>INV091125011</t>
  </si>
  <si>
    <t>INV101125012</t>
  </si>
  <si>
    <t>INV111125013</t>
  </si>
  <si>
    <t>INV121125014</t>
  </si>
  <si>
    <t>INV131125015</t>
  </si>
  <si>
    <t>INV141125016</t>
  </si>
  <si>
    <t>INV151125017</t>
  </si>
  <si>
    <t>INV161125018</t>
  </si>
  <si>
    <t>INV171125019</t>
  </si>
  <si>
    <t>INV181125020</t>
  </si>
  <si>
    <t>INV191125021</t>
  </si>
  <si>
    <t>INV201125022</t>
  </si>
  <si>
    <t>INV211125023</t>
  </si>
  <si>
    <t>INV221125024</t>
  </si>
  <si>
    <t>INV231125025</t>
  </si>
  <si>
    <t>INV241125026</t>
  </si>
  <si>
    <t>INV031225001</t>
  </si>
  <si>
    <t>INV041225002</t>
  </si>
  <si>
    <t>INV041225003</t>
  </si>
  <si>
    <t>INV051225004</t>
  </si>
  <si>
    <t>INV051225005</t>
  </si>
  <si>
    <t>INV061225006</t>
  </si>
  <si>
    <t>INV061225007</t>
  </si>
  <si>
    <t>INV071225008</t>
  </si>
  <si>
    <t>INV071225009</t>
  </si>
  <si>
    <t>INV081225010</t>
  </si>
  <si>
    <t>INV081225011</t>
  </si>
  <si>
    <t>INV091225012</t>
  </si>
  <si>
    <t>INV091225013</t>
  </si>
  <si>
    <t>INV101225014</t>
  </si>
  <si>
    <t>INV111225015</t>
  </si>
  <si>
    <t>INV121225016</t>
  </si>
  <si>
    <t>INV131225017</t>
  </si>
  <si>
    <t>INV141225018</t>
  </si>
  <si>
    <t>INV151225019</t>
  </si>
  <si>
    <t>INV161225020</t>
  </si>
  <si>
    <t>INV171225021</t>
  </si>
  <si>
    <t>INV181225022</t>
  </si>
  <si>
    <t>INV191225023</t>
  </si>
  <si>
    <t>INV201225024</t>
  </si>
  <si>
    <t>INV211225025</t>
  </si>
  <si>
    <t>INV221225026</t>
  </si>
  <si>
    <t>INV231225027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</si>
  <si>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</si>
  <si>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</si>
  <si>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</si>
  <si>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</si>
  <si>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</si>
  <si>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</si>
  <si>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</si>
  <si>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</si>
  <si>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</si>
  <si>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</si>
  <si>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</si>
  <si>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</si>
  <si>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</si>
  <si>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Produk</t>
  </si>
  <si>
    <t>Total Qty</t>
  </si>
  <si>
    <t>Customer</t>
  </si>
  <si>
    <t>Total Purchase (Rp)</t>
  </si>
  <si>
    <t>Bulan</t>
  </si>
  <si>
    <t>Total Product Purchase per Month</t>
  </si>
  <si>
    <t>Total (Juta)</t>
  </si>
  <si>
    <t>Product</t>
  </si>
  <si>
    <t>Total PO (Juta)</t>
  </si>
  <si>
    <t>%</t>
  </si>
  <si>
    <t>PT001</t>
  </si>
  <si>
    <t>PT002</t>
  </si>
  <si>
    <t>PT003</t>
  </si>
  <si>
    <t>PT004</t>
  </si>
  <si>
    <t>PT005</t>
  </si>
  <si>
    <t>PT006</t>
  </si>
  <si>
    <t>PT007</t>
  </si>
  <si>
    <t>Total</t>
  </si>
  <si>
    <t>Qty (Kg)</t>
  </si>
  <si>
    <t>Persentase</t>
  </si>
  <si>
    <t>Total Qty (Kg)</t>
  </si>
  <si>
    <t>Nama Produk</t>
  </si>
  <si>
    <t>Kode Produk</t>
  </si>
  <si>
    <t>Qty Product per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</si>
</sst>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Rp&quot;#,##0;[Red]\-&quot;Rp&quot;#,##0"/>
    <numFmt numFmtId="164" formatCode="_-[$Rp-3809]* #,##0.00_-;\-[$Rp-3809]* #,##0.00_-;_-[$Rp-3809]* &quot;-&quot;??_-;_-@_-"/>
    <numFmt numFmtId="166" formatCode="&quot;Rp&quot;#,##0"/>
    <numFmt numFmtId="171" formatCode="#,###\ \J\u\t\a"/>
  </numFmts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1F1F1F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D3500"/>
        <bgColor indexed="64"/>
      </patternFill>
    </fill>
    <fill>
      <patternFill patternType="solid">
        <fgColor rgb="FFFFA28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readingOrder="1"/>
    </xf>
    <xf numFmtId="0" fontId="0" fillId="0" borderId="0" xfId="0" applyAlignment="1">
      <alignment horizontal="center"/>
    </xf>
    <xf numFmtId="6" fontId="3" fillId="0" borderId="1" xfId="0" applyNumberFormat="1" applyFont="1" applyBorder="1" applyAlignment="1">
      <alignment horizontal="center" vertical="center" readingOrder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center"/>
    </xf>
    <xf numFmtId="164" fontId="1" fillId="2" borderId="0" xfId="0" applyNumberFormat="1" applyFon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/>
    </xf>
    <xf numFmtId="164" fontId="0" fillId="0" borderId="0" xfId="0" applyNumberFormat="1"/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3" borderId="0" xfId="0" applyFill="1"/>
    <xf numFmtId="164" fontId="0" fillId="3" borderId="0" xfId="0" applyNumberFormat="1" applyFill="1"/>
    <xf numFmtId="0" fontId="0" fillId="0" borderId="0" xfId="0" applyNumberFormat="1"/>
    <xf numFmtId="0" fontId="0" fillId="3" borderId="0" xfId="0" applyNumberFormat="1" applyFill="1"/>
    <xf numFmtId="9" fontId="0" fillId="0" borderId="0" xfId="0" applyNumberFormat="1"/>
    <xf numFmtId="9" fontId="0" fillId="3" borderId="0" xfId="0" applyNumberFormat="1" applyFill="1"/>
    <xf numFmtId="166" fontId="0" fillId="0" borderId="0" xfId="0" applyNumberFormat="1"/>
    <xf numFmtId="166" fontId="2" fillId="2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/>
    <xf numFmtId="3" fontId="0" fillId="3" borderId="0" xfId="0" applyNumberFormat="1" applyFill="1"/>
    <xf numFmtId="171" fontId="0" fillId="0" borderId="0" xfId="0" applyNumberFormat="1"/>
    <xf numFmtId="171" fontId="0" fillId="3" borderId="0" xfId="0" applyNumberFormat="1" applyFill="1"/>
    <xf numFmtId="0" fontId="2" fillId="4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9" fontId="0" fillId="0" borderId="1" xfId="1" applyFont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/>
    </xf>
    <xf numFmtId="3" fontId="0" fillId="0" borderId="1" xfId="0" applyNumberFormat="1" applyBorder="1"/>
    <xf numFmtId="3" fontId="0" fillId="3" borderId="1" xfId="0" applyNumberFormat="1" applyFill="1" applyBorder="1"/>
    <xf numFmtId="9" fontId="0" fillId="3" borderId="1" xfId="0" applyNumberFormat="1" applyFill="1" applyBorder="1"/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3" fontId="0" fillId="0" borderId="0" xfId="0" applyNumberFormat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</cellXfs>
  <cellStyles count="2">
    <cellStyle name="Normal" xfId="0" builtinId="0"/>
    <cellStyle name="Percent" xfId="1" builtinId="5"/>
  </cellStyles>
  <dxfs count="137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A289"/>
        </patternFill>
      </fill>
    </dxf>
    <dxf>
      <fill>
        <patternFill patternType="solid">
          <bgColor rgb="FFFFA289"/>
        </patternFill>
      </fill>
    </dxf>
    <dxf>
      <numFmt numFmtId="3" formatCode="#,##0"/>
    </dxf>
    <dxf>
      <font>
        <color theme="1"/>
      </font>
    </dxf>
    <dxf>
      <fill>
        <patternFill patternType="none">
          <bgColor auto="1"/>
        </patternFill>
      </fill>
    </dxf>
    <dxf>
      <fill>
        <patternFill>
          <bgColor rgb="FFED3500"/>
        </patternFill>
      </fill>
    </dxf>
    <dxf>
      <fill>
        <patternFill>
          <bgColor rgb="FFED3500"/>
        </patternFill>
      </fill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ED3500"/>
        </patternFill>
      </fill>
    </dxf>
    <dxf>
      <fill>
        <patternFill>
          <bgColor rgb="FFED3500"/>
        </patternFill>
      </fill>
    </dxf>
    <dxf>
      <fill>
        <patternFill>
          <bgColor rgb="FFED3500"/>
        </patternFill>
      </fill>
    </dxf>
    <dxf>
      <fill>
        <patternFill>
          <bgColor theme="0"/>
        </patternFill>
      </fill>
    </dxf>
    <dxf>
      <font>
        <color auto="1"/>
      </font>
    </dxf>
    <dxf>
      <numFmt numFmtId="3" formatCode="#,##0"/>
    </dxf>
    <dxf>
      <fill>
        <patternFill patternType="solid">
          <bgColor rgb="FFFFA289"/>
        </patternFill>
      </fill>
    </dxf>
    <dxf>
      <fill>
        <patternFill patternType="solid">
          <bgColor rgb="FFFFA289"/>
        </patternFill>
      </fill>
    </dxf>
    <dxf>
      <fill>
        <patternFill patternType="solid">
          <bgColor rgb="FFFFA289"/>
        </patternFill>
      </fill>
    </dxf>
    <dxf>
      <fill>
        <patternFill patternType="solid">
          <bgColor rgb="FFFFA289"/>
        </patternFill>
      </fill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ill>
        <patternFill>
          <bgColor rgb="FFED3500"/>
        </patternFill>
      </fill>
    </dxf>
    <dxf>
      <fill>
        <patternFill>
          <bgColor rgb="FFED3500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C00000"/>
        </patternFill>
      </fill>
    </dxf>
    <dxf>
      <numFmt numFmtId="171" formatCode="#,###\ \J\u\t\a"/>
    </dxf>
    <dxf>
      <fill>
        <patternFill patternType="solid">
          <bgColor rgb="FFFFA289"/>
        </patternFill>
      </fill>
    </dxf>
    <dxf>
      <fill>
        <patternFill patternType="solid">
          <bgColor rgb="FFFFA289"/>
        </patternFill>
      </fill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  <dxf>
      <font>
        <color theme="0"/>
      </font>
    </dxf>
    <dxf>
      <font>
        <color theme="0"/>
      </font>
    </dxf>
    <dxf>
      <alignment horizontal="center"/>
    </dxf>
    <dxf>
      <alignment horizontal="center"/>
    </dxf>
    <dxf>
      <fill>
        <patternFill patternType="solid">
          <bgColor rgb="FFFFA289"/>
        </patternFill>
      </fill>
    </dxf>
    <dxf>
      <fill>
        <patternFill patternType="solid">
          <bgColor rgb="FFFFA289"/>
        </patternFill>
      </fill>
    </dxf>
    <dxf>
      <fill>
        <patternFill patternType="solid">
          <bgColor rgb="FFFFA289"/>
        </patternFill>
      </fill>
    </dxf>
    <dxf>
      <fill>
        <patternFill patternType="solid">
          <bgColor rgb="FFFFA289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  <dxf>
      <alignment horizontal="center"/>
    </dxf>
    <dxf>
      <alignment horizontal="center"/>
    </dxf>
    <dxf>
      <fill>
        <patternFill patternType="solid">
          <bgColor rgb="FFFFA289"/>
        </patternFill>
      </fill>
    </dxf>
    <dxf>
      <fill>
        <patternFill patternType="solid">
          <bgColor rgb="FFFFA289"/>
        </patternFill>
      </fill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  <dxf>
      <fill>
        <patternFill patternType="solid">
          <bgColor rgb="FFFFA289"/>
        </patternFill>
      </fill>
    </dxf>
    <dxf>
      <fill>
        <patternFill patternType="solid">
          <bgColor rgb="FFFFA289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rgb="FFFFA289"/>
        </patternFill>
      </fill>
    </dxf>
    <dxf>
      <fill>
        <patternFill patternType="solid">
          <bgColor rgb="FFFFA289"/>
        </patternFill>
      </fill>
    </dxf>
    <dxf>
      <alignment horizontal="center"/>
    </dxf>
    <dxf>
      <alignment horizontal="center"/>
    </dxf>
    <dxf>
      <font>
        <color theme="0"/>
      </font>
    </dxf>
    <dxf>
      <font>
        <color theme="0"/>
      </font>
    </dxf>
    <dxf>
      <fill>
        <patternFill patternType="solid">
          <bgColor rgb="FFED3500"/>
        </patternFill>
      </fill>
    </dxf>
    <dxf>
      <fill>
        <patternFill patternType="solid">
          <bgColor rgb="FFED3500"/>
        </patternFill>
      </fill>
    </dxf>
  </dxfs>
  <tableStyles count="0" defaultTableStyle="TableStyleMedium2" defaultPivotStyle="PivotStyleLight16"/>
  <colors>
    <mruColors>
      <color rgb="FF4D4D4D"/>
      <color rgb="FFFF9F85"/>
      <color rgb="FFFF683F"/>
      <color rgb="FFA5A5A5"/>
      <color rgb="FF921F00"/>
      <color rgb="FFED3500"/>
      <color rgb="FFFFA2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Veolia.xlsx]Pivot Table!PivotTable12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Customer Qty PO (Kg)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 w="25400" cap="flat" cmpd="sng" algn="ctr">
            <a:noFill/>
            <a:miter lim="800000"/>
          </a:ln>
          <a:effectLst/>
        </c:spPr>
        <c:marker>
          <c:symbol val="circle"/>
          <c:size val="6"/>
          <c:spPr>
            <a:noFill/>
            <a:ln w="19050" cap="rnd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Table'!$F$32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 w="25400" cap="flat" cmpd="sng" algn="ctr">
              <a:noFill/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Table'!$E$33:$E$40</c:f>
              <c:strCache>
                <c:ptCount val="7"/>
                <c:pt idx="0">
                  <c:v>PT Bintang Daur Ulang</c:v>
                </c:pt>
                <c:pt idx="1">
                  <c:v>PT Cahaya Plastik Abadi</c:v>
                </c:pt>
                <c:pt idx="2">
                  <c:v>PT Global Recycle Industry</c:v>
                </c:pt>
                <c:pt idx="3">
                  <c:v>PT Indo Plastik Mandiri</c:v>
                </c:pt>
                <c:pt idx="4">
                  <c:v>PT Maju Jaya Plastik</c:v>
                </c:pt>
                <c:pt idx="5">
                  <c:v>PT Mitra Plastik Nusantara</c:v>
                </c:pt>
                <c:pt idx="6">
                  <c:v>PT Surya Polimer Indonesia</c:v>
                </c:pt>
              </c:strCache>
            </c:strRef>
          </c:cat>
          <c:val>
            <c:numRef>
              <c:f>'Pivot Table'!$F$33:$F$40</c:f>
              <c:numCache>
                <c:formatCode>#,##0</c:formatCode>
                <c:ptCount val="7"/>
                <c:pt idx="0">
                  <c:v>74040</c:v>
                </c:pt>
                <c:pt idx="1">
                  <c:v>115275</c:v>
                </c:pt>
                <c:pt idx="2">
                  <c:v>128865</c:v>
                </c:pt>
                <c:pt idx="3">
                  <c:v>114210</c:v>
                </c:pt>
                <c:pt idx="4">
                  <c:v>123660</c:v>
                </c:pt>
                <c:pt idx="5">
                  <c:v>115385</c:v>
                </c:pt>
                <c:pt idx="6">
                  <c:v>131945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3-40A6-BE3D-631C396A1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35"/>
        <c:axId val="198651631"/>
        <c:axId val="198649231"/>
      </c:barChart>
      <c:catAx>
        <c:axId val="19865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49231"/>
        <c:crosses val="autoZero"/>
        <c:auto val="1"/>
        <c:lblAlgn val="ctr"/>
        <c:lblOffset val="100"/>
        <c:noMultiLvlLbl val="0"/>
      </c:catAx>
      <c:valAx>
        <c:axId val="198649231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5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D3500"/>
    </a:solidFill>
    <a:ln w="0" cap="flat" cmpd="sng" algn="ctr">
      <a:solidFill>
        <a:srgbClr val="ED35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Veolia.xlsx]Pivot Table!PivotTable11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ED3500"/>
                </a:solidFill>
                <a:latin typeface="Poppins" panose="00000800000000000000" pitchFamily="2" charset="0"/>
                <a:ea typeface="+mn-ea"/>
                <a:cs typeface="Poppins" panose="00000800000000000000" pitchFamily="2" charset="0"/>
              </a:defRPr>
            </a:pPr>
            <a:r>
              <a:rPr lang="en-US" sz="1800" b="1">
                <a:solidFill>
                  <a:srgbClr val="ED3500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Customer Qty PO (Kg)</a:t>
            </a:r>
            <a:endParaRPr lang="en-US" sz="1800" b="1" baseline="0">
              <a:solidFill>
                <a:srgbClr val="ED3500"/>
              </a:solidFill>
              <a:latin typeface="Poppins" panose="00000800000000000000" pitchFamily="2" charset="0"/>
              <a:cs typeface="Poppins" panose="00000800000000000000" pitchFamily="2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>
              <a:lumMod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600" b="1">
                  <a:solidFill>
                    <a:schemeClr val="bg1"/>
                  </a:solidFill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600" b="1">
                  <a:solidFill>
                    <a:schemeClr val="bg1"/>
                  </a:solidFill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600" b="1">
                  <a:solidFill>
                    <a:schemeClr val="bg1"/>
                  </a:solidFill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600" b="1">
                  <a:solidFill>
                    <a:schemeClr val="bg1"/>
                  </a:solidFill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600" b="1">
                  <a:solidFill>
                    <a:schemeClr val="bg1"/>
                  </a:solidFill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600" b="1">
                  <a:solidFill>
                    <a:schemeClr val="bg1"/>
                  </a:solidFill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600" b="1">
                  <a:solidFill>
                    <a:schemeClr val="bg1"/>
                  </a:solidFill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600" b="1">
                  <a:solidFill>
                    <a:schemeClr val="bg1"/>
                  </a:solidFill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600" b="1">
                  <a:solidFill>
                    <a:schemeClr val="bg1"/>
                  </a:solidFill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600" b="1">
                  <a:solidFill>
                    <a:schemeClr val="bg1"/>
                  </a:solidFill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600" b="1">
                  <a:solidFill>
                    <a:schemeClr val="bg1"/>
                  </a:solidFill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600" b="1">
                  <a:solidFill>
                    <a:schemeClr val="bg1"/>
                  </a:solidFill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1600" b="1">
                  <a:solidFill>
                    <a:schemeClr val="bg1"/>
                  </a:solidFill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rgbClr val="ED3500"/>
          </a:solidFill>
        </c:spPr>
      </c:pivotFmt>
      <c:pivotFmt>
        <c:idx val="73"/>
        <c:spPr>
          <a:solidFill>
            <a:srgbClr val="4D4D4D"/>
          </a:solidFill>
        </c:spPr>
      </c:pivotFmt>
      <c:pivotFmt>
        <c:idx val="74"/>
        <c:spPr>
          <a:solidFill>
            <a:srgbClr val="FF683F"/>
          </a:solidFill>
        </c:spPr>
      </c:pivotFmt>
      <c:pivotFmt>
        <c:idx val="75"/>
        <c:spPr>
          <a:solidFill>
            <a:schemeClr val="accent3">
              <a:lumMod val="75000"/>
            </a:schemeClr>
          </a:solidFill>
        </c:spPr>
      </c:pivotFmt>
      <c:pivotFmt>
        <c:idx val="76"/>
        <c:spPr>
          <a:solidFill>
            <a:srgbClr val="921F00"/>
          </a:solidFill>
        </c:spPr>
      </c:pivotFmt>
      <c:pivotFmt>
        <c:idx val="77"/>
        <c:spPr>
          <a:solidFill>
            <a:srgbClr val="A5A5A5"/>
          </a:solidFill>
        </c:spPr>
      </c:pivotFmt>
      <c:pivotFmt>
        <c:idx val="78"/>
        <c:spPr>
          <a:solidFill>
            <a:srgbClr val="FF9F85"/>
          </a:solidFill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Table'!$F$22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ED3500"/>
              </a:solidFill>
            </c:spPr>
            <c:extLst>
              <c:ext xmlns:c16="http://schemas.microsoft.com/office/drawing/2014/chart" uri="{C3380CC4-5D6E-409C-BE32-E72D297353CC}">
                <c16:uniqueId val="{00000000-621D-42A6-B18B-C0076008D7FE}"/>
              </c:ext>
            </c:extLst>
          </c:dPt>
          <c:dPt>
            <c:idx val="1"/>
            <c:bubble3D val="0"/>
            <c:spPr>
              <a:solidFill>
                <a:srgbClr val="4D4D4D"/>
              </a:solidFill>
            </c:spPr>
            <c:extLst>
              <c:ext xmlns:c16="http://schemas.microsoft.com/office/drawing/2014/chart" uri="{C3380CC4-5D6E-409C-BE32-E72D297353CC}">
                <c16:uniqueId val="{00000001-621D-42A6-B18B-C0076008D7FE}"/>
              </c:ext>
            </c:extLst>
          </c:dPt>
          <c:dPt>
            <c:idx val="2"/>
            <c:bubble3D val="0"/>
            <c:spPr>
              <a:solidFill>
                <a:srgbClr val="FF683F"/>
              </a:solidFill>
            </c:spPr>
            <c:extLst>
              <c:ext xmlns:c16="http://schemas.microsoft.com/office/drawing/2014/chart" uri="{C3380CC4-5D6E-409C-BE32-E72D297353CC}">
                <c16:uniqueId val="{00000002-621D-42A6-B18B-C0076008D7FE}"/>
              </c:ext>
            </c:extLst>
          </c:dPt>
          <c:dPt>
            <c:idx val="3"/>
            <c:bubble3D val="0"/>
            <c:spPr>
              <a:solidFill>
                <a:schemeClr val="accent3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621D-42A6-B18B-C0076008D7FE}"/>
              </c:ext>
            </c:extLst>
          </c:dPt>
          <c:dPt>
            <c:idx val="4"/>
            <c:bubble3D val="0"/>
            <c:spPr>
              <a:solidFill>
                <a:srgbClr val="921F00"/>
              </a:solidFill>
            </c:spPr>
            <c:extLst>
              <c:ext xmlns:c16="http://schemas.microsoft.com/office/drawing/2014/chart" uri="{C3380CC4-5D6E-409C-BE32-E72D297353CC}">
                <c16:uniqueId val="{00000004-621D-42A6-B18B-C0076008D7FE}"/>
              </c:ext>
            </c:extLst>
          </c:dPt>
          <c:dPt>
            <c:idx val="5"/>
            <c:bubble3D val="0"/>
            <c:spPr>
              <a:solidFill>
                <a:srgbClr val="A5A5A5"/>
              </a:solidFill>
            </c:spPr>
            <c:extLst>
              <c:ext xmlns:c16="http://schemas.microsoft.com/office/drawing/2014/chart" uri="{C3380CC4-5D6E-409C-BE32-E72D297353CC}">
                <c16:uniqueId val="{00000005-621D-42A6-B18B-C0076008D7FE}"/>
              </c:ext>
            </c:extLst>
          </c:dPt>
          <c:dPt>
            <c:idx val="6"/>
            <c:bubble3D val="0"/>
            <c:spPr>
              <a:solidFill>
                <a:srgbClr val="FF9F85"/>
              </a:solidFill>
            </c:spPr>
            <c:extLst>
              <c:ext xmlns:c16="http://schemas.microsoft.com/office/drawing/2014/chart" uri="{C3380CC4-5D6E-409C-BE32-E72D297353CC}">
                <c16:uniqueId val="{00000006-621D-42A6-B18B-C0076008D7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6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Table'!$E$23:$E$30</c:f>
              <c:strCache>
                <c:ptCount val="7"/>
                <c:pt idx="0">
                  <c:v>PT Bintang Daur Ulang</c:v>
                </c:pt>
                <c:pt idx="1">
                  <c:v>PT Cahaya Plastik Abadi</c:v>
                </c:pt>
                <c:pt idx="2">
                  <c:v>PT Global Recycle Industry</c:v>
                </c:pt>
                <c:pt idx="3">
                  <c:v>PT Indo Plastik Mandiri</c:v>
                </c:pt>
                <c:pt idx="4">
                  <c:v>PT Maju Jaya Plastik</c:v>
                </c:pt>
                <c:pt idx="5">
                  <c:v>PT Mitra Plastik Nusantara</c:v>
                </c:pt>
                <c:pt idx="6">
                  <c:v>PT Surya Polimer Indonesia</c:v>
                </c:pt>
              </c:strCache>
            </c:strRef>
          </c:cat>
          <c:val>
            <c:numRef>
              <c:f>'Pivot Table'!$F$23:$F$30</c:f>
              <c:numCache>
                <c:formatCode>0%</c:formatCode>
                <c:ptCount val="7"/>
                <c:pt idx="0">
                  <c:v>9.2160621374691928E-2</c:v>
                </c:pt>
                <c:pt idx="1">
                  <c:v>0.14348751524807687</c:v>
                </c:pt>
                <c:pt idx="2">
                  <c:v>0.16040354502228085</c:v>
                </c:pt>
                <c:pt idx="3">
                  <c:v>0.14216186611566134</c:v>
                </c:pt>
                <c:pt idx="4">
                  <c:v>0.15392466827653165</c:v>
                </c:pt>
                <c:pt idx="5">
                  <c:v>0.14362443675471134</c:v>
                </c:pt>
                <c:pt idx="6">
                  <c:v>0.164237347208046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21D-42A6-B18B-C0076008D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noFill/>
    <a:ln w="12700" cap="flat" cmpd="sng" algn="ctr">
      <a:solidFill>
        <a:srgbClr val="ED35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Veolia.xlsx]Pivot Table!PivotTable15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800" b="1">
                <a:solidFill>
                  <a:srgbClr val="ED3500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Qty Purchase</a:t>
            </a:r>
            <a:r>
              <a:rPr lang="en-ID" sz="1800" b="1" baseline="0">
                <a:solidFill>
                  <a:srgbClr val="ED3500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 Order </a:t>
            </a:r>
            <a:r>
              <a:rPr lang="en-ID" sz="1800" b="1">
                <a:solidFill>
                  <a:srgbClr val="ED3500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Produk per</a:t>
            </a:r>
            <a:r>
              <a:rPr lang="en-ID" sz="1800" b="1" baseline="0">
                <a:solidFill>
                  <a:srgbClr val="ED3500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 Bulan (Kg)</a:t>
            </a:r>
            <a:endParaRPr lang="en-ID" sz="1800" b="1">
              <a:solidFill>
                <a:srgbClr val="ED3500"/>
              </a:solidFill>
              <a:latin typeface="Poppins" panose="00000800000000000000" pitchFamily="2" charset="0"/>
              <a:cs typeface="Poppins" panose="00000800000000000000" pitchFamily="2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4722310863547927E-2"/>
          <c:y val="0.16756944444444444"/>
          <c:w val="0.84959594686125639"/>
          <c:h val="0.75603472222222223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Table'!$I$2:$I$3</c:f>
              <c:strCache>
                <c:ptCount val="1"/>
                <c:pt idx="0">
                  <c:v>HDPE Blue Drum Flakes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Table'!$I$4:$I$16</c:f>
              <c:numCache>
                <c:formatCode>#,##0</c:formatCode>
                <c:ptCount val="12"/>
                <c:pt idx="0">
                  <c:v>4230</c:v>
                </c:pt>
                <c:pt idx="1">
                  <c:v>3175</c:v>
                </c:pt>
                <c:pt idx="2">
                  <c:v>3200</c:v>
                </c:pt>
                <c:pt idx="3">
                  <c:v>1650</c:v>
                </c:pt>
                <c:pt idx="4">
                  <c:v>4080</c:v>
                </c:pt>
                <c:pt idx="5">
                  <c:v>5560</c:v>
                </c:pt>
                <c:pt idx="6">
                  <c:v>2210</c:v>
                </c:pt>
                <c:pt idx="7">
                  <c:v>3400</c:v>
                </c:pt>
                <c:pt idx="8">
                  <c:v>3580</c:v>
                </c:pt>
                <c:pt idx="9">
                  <c:v>5220</c:v>
                </c:pt>
                <c:pt idx="10">
                  <c:v>3010</c:v>
                </c:pt>
                <c:pt idx="11">
                  <c:v>3130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AB-4C72-8327-03FBD4A3AF19}"/>
            </c:ext>
          </c:extLst>
        </c:ser>
        <c:ser>
          <c:idx val="1"/>
          <c:order val="1"/>
          <c:tx>
            <c:strRef>
              <c:f>'Pivot Table'!$J$2:$J$3</c:f>
              <c:strCache>
                <c:ptCount val="1"/>
                <c:pt idx="0">
                  <c:v>HDPE Bottle Cap Flakes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Table'!$J$4:$J$16</c:f>
              <c:numCache>
                <c:formatCode>#,##0</c:formatCode>
                <c:ptCount val="12"/>
                <c:pt idx="0">
                  <c:v>4430</c:v>
                </c:pt>
                <c:pt idx="1">
                  <c:v>1600</c:v>
                </c:pt>
                <c:pt idx="3">
                  <c:v>3750</c:v>
                </c:pt>
                <c:pt idx="4">
                  <c:v>3885</c:v>
                </c:pt>
                <c:pt idx="6">
                  <c:v>4150</c:v>
                </c:pt>
                <c:pt idx="7">
                  <c:v>5750</c:v>
                </c:pt>
                <c:pt idx="8">
                  <c:v>1540</c:v>
                </c:pt>
                <c:pt idx="9">
                  <c:v>4210</c:v>
                </c:pt>
                <c:pt idx="10">
                  <c:v>1670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AB-4C72-8327-03FBD4A3AF19}"/>
            </c:ext>
          </c:extLst>
        </c:ser>
        <c:ser>
          <c:idx val="2"/>
          <c:order val="2"/>
          <c:tx>
            <c:strRef>
              <c:f>'Pivot Table'!$K$2:$K$3</c:f>
              <c:strCache>
                <c:ptCount val="1"/>
                <c:pt idx="0">
                  <c:v>HDPE Mixed Color Flakes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Table'!$K$4:$K$16</c:f>
              <c:numCache>
                <c:formatCode>#,##0</c:formatCode>
                <c:ptCount val="12"/>
                <c:pt idx="0">
                  <c:v>4780</c:v>
                </c:pt>
                <c:pt idx="1">
                  <c:v>11500</c:v>
                </c:pt>
                <c:pt idx="2">
                  <c:v>7700</c:v>
                </c:pt>
                <c:pt idx="3">
                  <c:v>6180</c:v>
                </c:pt>
                <c:pt idx="4">
                  <c:v>6310</c:v>
                </c:pt>
                <c:pt idx="5">
                  <c:v>9155</c:v>
                </c:pt>
                <c:pt idx="6">
                  <c:v>6275</c:v>
                </c:pt>
                <c:pt idx="7">
                  <c:v>3850</c:v>
                </c:pt>
                <c:pt idx="8">
                  <c:v>8570</c:v>
                </c:pt>
                <c:pt idx="9">
                  <c:v>4960</c:v>
                </c:pt>
                <c:pt idx="10">
                  <c:v>6720</c:v>
                </c:pt>
                <c:pt idx="11">
                  <c:v>8390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AB-4C72-8327-03FBD4A3AF19}"/>
            </c:ext>
          </c:extLst>
        </c:ser>
        <c:ser>
          <c:idx val="3"/>
          <c:order val="3"/>
          <c:tx>
            <c:strRef>
              <c:f>'Pivot Table'!$L$2:$L$3</c:f>
              <c:strCache>
                <c:ptCount val="1"/>
                <c:pt idx="0">
                  <c:v>HDPE Natural Flakes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Table'!$L$4:$L$16</c:f>
              <c:numCache>
                <c:formatCode>#,##0</c:formatCode>
                <c:ptCount val="12"/>
                <c:pt idx="0">
                  <c:v>5780</c:v>
                </c:pt>
                <c:pt idx="1">
                  <c:v>3630</c:v>
                </c:pt>
                <c:pt idx="2">
                  <c:v>6300</c:v>
                </c:pt>
                <c:pt idx="3">
                  <c:v>6420</c:v>
                </c:pt>
                <c:pt idx="4">
                  <c:v>6460</c:v>
                </c:pt>
                <c:pt idx="5">
                  <c:v>6670</c:v>
                </c:pt>
                <c:pt idx="6">
                  <c:v>9975</c:v>
                </c:pt>
                <c:pt idx="7">
                  <c:v>6650</c:v>
                </c:pt>
                <c:pt idx="8">
                  <c:v>8800</c:v>
                </c:pt>
                <c:pt idx="9">
                  <c:v>9450</c:v>
                </c:pt>
                <c:pt idx="10">
                  <c:v>6430</c:v>
                </c:pt>
                <c:pt idx="11">
                  <c:v>6120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AB-4C72-8327-03FBD4A3AF19}"/>
            </c:ext>
          </c:extLst>
        </c:ser>
        <c:ser>
          <c:idx val="4"/>
          <c:order val="4"/>
          <c:tx>
            <c:strRef>
              <c:f>'Pivot Table'!$M$2:$M$3</c:f>
              <c:strCache>
                <c:ptCount val="1"/>
                <c:pt idx="0">
                  <c:v>PET Blue Flakes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Table'!$M$4:$M$16</c:f>
              <c:numCache>
                <c:formatCode>#,##0</c:formatCode>
                <c:ptCount val="12"/>
                <c:pt idx="0">
                  <c:v>7415</c:v>
                </c:pt>
                <c:pt idx="1">
                  <c:v>9250</c:v>
                </c:pt>
                <c:pt idx="2">
                  <c:v>8670</c:v>
                </c:pt>
                <c:pt idx="3">
                  <c:v>6735</c:v>
                </c:pt>
                <c:pt idx="4">
                  <c:v>9550</c:v>
                </c:pt>
                <c:pt idx="5">
                  <c:v>5300</c:v>
                </c:pt>
                <c:pt idx="6">
                  <c:v>9420</c:v>
                </c:pt>
                <c:pt idx="7">
                  <c:v>6200</c:v>
                </c:pt>
                <c:pt idx="8">
                  <c:v>7130</c:v>
                </c:pt>
                <c:pt idx="9">
                  <c:v>7190</c:v>
                </c:pt>
                <c:pt idx="10">
                  <c:v>5940</c:v>
                </c:pt>
                <c:pt idx="11">
                  <c:v>8820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CAB-4C72-8327-03FBD4A3AF19}"/>
            </c:ext>
          </c:extLst>
        </c:ser>
        <c:ser>
          <c:idx val="5"/>
          <c:order val="5"/>
          <c:tx>
            <c:strRef>
              <c:f>'Pivot Table'!$N$2:$N$3</c:f>
              <c:strCache>
                <c:ptCount val="1"/>
                <c:pt idx="0">
                  <c:v>PET Clear Flakes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Table'!$N$4:$N$16</c:f>
              <c:numCache>
                <c:formatCode>#,##0</c:formatCode>
                <c:ptCount val="12"/>
                <c:pt idx="0">
                  <c:v>3080</c:v>
                </c:pt>
                <c:pt idx="1">
                  <c:v>10330</c:v>
                </c:pt>
                <c:pt idx="2">
                  <c:v>7305</c:v>
                </c:pt>
                <c:pt idx="3">
                  <c:v>6790</c:v>
                </c:pt>
                <c:pt idx="4">
                  <c:v>7390</c:v>
                </c:pt>
                <c:pt idx="5">
                  <c:v>6255</c:v>
                </c:pt>
                <c:pt idx="6">
                  <c:v>7090</c:v>
                </c:pt>
                <c:pt idx="7">
                  <c:v>7950</c:v>
                </c:pt>
                <c:pt idx="8">
                  <c:v>8430</c:v>
                </c:pt>
                <c:pt idx="9">
                  <c:v>6770</c:v>
                </c:pt>
                <c:pt idx="10">
                  <c:v>9960</c:v>
                </c:pt>
                <c:pt idx="11">
                  <c:v>12290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CAB-4C72-8327-03FBD4A3AF19}"/>
            </c:ext>
          </c:extLst>
        </c:ser>
        <c:ser>
          <c:idx val="6"/>
          <c:order val="6"/>
          <c:tx>
            <c:strRef>
              <c:f>'Pivot Table'!$O$2:$O$3</c:f>
              <c:strCache>
                <c:ptCount val="1"/>
                <c:pt idx="0">
                  <c:v>PET Green Flakes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Table'!$O$4:$O$16</c:f>
              <c:numCache>
                <c:formatCode>#,##0</c:formatCode>
                <c:ptCount val="12"/>
                <c:pt idx="0">
                  <c:v>4745</c:v>
                </c:pt>
                <c:pt idx="1">
                  <c:v>4800</c:v>
                </c:pt>
                <c:pt idx="2">
                  <c:v>6000</c:v>
                </c:pt>
                <c:pt idx="3">
                  <c:v>4640</c:v>
                </c:pt>
                <c:pt idx="4">
                  <c:v>8245</c:v>
                </c:pt>
                <c:pt idx="5">
                  <c:v>9510</c:v>
                </c:pt>
                <c:pt idx="6">
                  <c:v>9975</c:v>
                </c:pt>
                <c:pt idx="7">
                  <c:v>8500</c:v>
                </c:pt>
                <c:pt idx="8">
                  <c:v>9715</c:v>
                </c:pt>
                <c:pt idx="9">
                  <c:v>5380</c:v>
                </c:pt>
                <c:pt idx="10">
                  <c:v>7730</c:v>
                </c:pt>
                <c:pt idx="11">
                  <c:v>6330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CAB-4C72-8327-03FBD4A3AF19}"/>
            </c:ext>
          </c:extLst>
        </c:ser>
        <c:ser>
          <c:idx val="7"/>
          <c:order val="7"/>
          <c:tx>
            <c:strRef>
              <c:f>'Pivot Table'!$P$2:$P$3</c:f>
              <c:strCache>
                <c:ptCount val="1"/>
                <c:pt idx="0">
                  <c:v>PET Hot Washed Flakes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Table'!$P$4:$P$16</c:f>
              <c:numCache>
                <c:formatCode>#,##0</c:formatCode>
                <c:ptCount val="12"/>
                <c:pt idx="0">
                  <c:v>6165</c:v>
                </c:pt>
                <c:pt idx="1">
                  <c:v>7450</c:v>
                </c:pt>
                <c:pt idx="2">
                  <c:v>6750</c:v>
                </c:pt>
                <c:pt idx="3">
                  <c:v>6560</c:v>
                </c:pt>
                <c:pt idx="4">
                  <c:v>6045</c:v>
                </c:pt>
                <c:pt idx="5">
                  <c:v>7400</c:v>
                </c:pt>
                <c:pt idx="6">
                  <c:v>5200</c:v>
                </c:pt>
                <c:pt idx="7">
                  <c:v>6950</c:v>
                </c:pt>
                <c:pt idx="8">
                  <c:v>8250</c:v>
                </c:pt>
                <c:pt idx="9">
                  <c:v>7060</c:v>
                </c:pt>
                <c:pt idx="10">
                  <c:v>7180</c:v>
                </c:pt>
                <c:pt idx="11">
                  <c:v>6490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CAB-4C72-8327-03FBD4A3AF19}"/>
            </c:ext>
          </c:extLst>
        </c:ser>
        <c:ser>
          <c:idx val="8"/>
          <c:order val="8"/>
          <c:tx>
            <c:strRef>
              <c:f>'Pivot Table'!$Q$2:$Q$3</c:f>
              <c:strCache>
                <c:ptCount val="1"/>
                <c:pt idx="0">
                  <c:v>PET Mixed Color Flakes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Table'!$Q$4:$Q$16</c:f>
              <c:numCache>
                <c:formatCode>#,##0</c:formatCode>
                <c:ptCount val="12"/>
                <c:pt idx="0">
                  <c:v>5440</c:v>
                </c:pt>
                <c:pt idx="1">
                  <c:v>6400</c:v>
                </c:pt>
                <c:pt idx="2">
                  <c:v>5300</c:v>
                </c:pt>
                <c:pt idx="3">
                  <c:v>5900</c:v>
                </c:pt>
                <c:pt idx="4">
                  <c:v>7150</c:v>
                </c:pt>
                <c:pt idx="5">
                  <c:v>5870</c:v>
                </c:pt>
                <c:pt idx="6">
                  <c:v>6020</c:v>
                </c:pt>
                <c:pt idx="7">
                  <c:v>4500</c:v>
                </c:pt>
                <c:pt idx="8">
                  <c:v>6200</c:v>
                </c:pt>
                <c:pt idx="9">
                  <c:v>4555</c:v>
                </c:pt>
                <c:pt idx="10">
                  <c:v>5910</c:v>
                </c:pt>
                <c:pt idx="11">
                  <c:v>6660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CAB-4C72-8327-03FBD4A3AF19}"/>
            </c:ext>
          </c:extLst>
        </c:ser>
        <c:ser>
          <c:idx val="9"/>
          <c:order val="9"/>
          <c:tx>
            <c:strRef>
              <c:f>'Pivot Table'!$R$2:$R$3</c:f>
              <c:strCache>
                <c:ptCount val="1"/>
                <c:pt idx="0">
                  <c:v>PP Injection Flakes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Table'!$R$4:$R$16</c:f>
              <c:numCache>
                <c:formatCode>#,##0</c:formatCode>
                <c:ptCount val="12"/>
                <c:pt idx="0">
                  <c:v>5950</c:v>
                </c:pt>
                <c:pt idx="1">
                  <c:v>5700</c:v>
                </c:pt>
                <c:pt idx="2">
                  <c:v>9000</c:v>
                </c:pt>
                <c:pt idx="3">
                  <c:v>8065</c:v>
                </c:pt>
                <c:pt idx="4">
                  <c:v>9100</c:v>
                </c:pt>
                <c:pt idx="5">
                  <c:v>5370</c:v>
                </c:pt>
                <c:pt idx="6">
                  <c:v>8075</c:v>
                </c:pt>
                <c:pt idx="7">
                  <c:v>5850</c:v>
                </c:pt>
                <c:pt idx="8">
                  <c:v>9100</c:v>
                </c:pt>
                <c:pt idx="9">
                  <c:v>4730</c:v>
                </c:pt>
                <c:pt idx="10">
                  <c:v>6090</c:v>
                </c:pt>
                <c:pt idx="11">
                  <c:v>8080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CAB-4C72-8327-03FBD4A3AF19}"/>
            </c:ext>
          </c:extLst>
        </c:ser>
        <c:ser>
          <c:idx val="10"/>
          <c:order val="10"/>
          <c:tx>
            <c:strRef>
              <c:f>'Pivot Table'!$S$2:$S$3</c:f>
              <c:strCache>
                <c:ptCount val="1"/>
                <c:pt idx="0">
                  <c:v>PP White Flakes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Table'!$H$4:$H$16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Table'!$S$4:$S$16</c:f>
              <c:numCache>
                <c:formatCode>#,##0</c:formatCode>
                <c:ptCount val="12"/>
                <c:pt idx="0">
                  <c:v>6430</c:v>
                </c:pt>
                <c:pt idx="1">
                  <c:v>5100</c:v>
                </c:pt>
                <c:pt idx="2">
                  <c:v>4380</c:v>
                </c:pt>
                <c:pt idx="3">
                  <c:v>5590</c:v>
                </c:pt>
                <c:pt idx="5">
                  <c:v>4880</c:v>
                </c:pt>
                <c:pt idx="6">
                  <c:v>2950</c:v>
                </c:pt>
                <c:pt idx="7">
                  <c:v>5900</c:v>
                </c:pt>
                <c:pt idx="8">
                  <c:v>4600</c:v>
                </c:pt>
                <c:pt idx="9">
                  <c:v>6090</c:v>
                </c:pt>
                <c:pt idx="10">
                  <c:v>4640</c:v>
                </c:pt>
                <c:pt idx="11">
                  <c:v>4970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CAB-4C72-8327-03FBD4A3AF1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79942399"/>
        <c:axId val="479955359"/>
      </c:lineChart>
      <c:catAx>
        <c:axId val="47994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rgbClr val="ED35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955359"/>
        <c:crosses val="autoZero"/>
        <c:auto val="1"/>
        <c:lblAlgn val="ctr"/>
        <c:lblOffset val="100"/>
        <c:noMultiLvlLbl val="0"/>
      </c:catAx>
      <c:valAx>
        <c:axId val="47995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>
                  <a:lumMod val="9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ED35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94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ED35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Veolia.xlsx]Pivot Table!PivotTable1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spc="50" baseline="0">
                <a:solidFill>
                  <a:srgbClr val="ED3500"/>
                </a:solidFill>
                <a:latin typeface="Poppins" panose="00000800000000000000" pitchFamily="2" charset="0"/>
                <a:ea typeface="+mn-ea"/>
                <a:cs typeface="Poppins" panose="00000800000000000000" pitchFamily="2" charset="0"/>
              </a:defRPr>
            </a:pPr>
            <a:r>
              <a:rPr lang="en-US" b="1">
                <a:solidFill>
                  <a:srgbClr val="ED3500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Total Qty Purchase Order Product (Kg)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spc="50" baseline="0">
              <a:solidFill>
                <a:srgbClr val="ED3500"/>
              </a:solidFill>
              <a:latin typeface="Poppins" panose="00000800000000000000" pitchFamily="2" charset="0"/>
              <a:ea typeface="+mn-ea"/>
              <a:cs typeface="Poppins" panose="00000800000000000000" pitchFamily="2" charset="0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D3500"/>
          </a:solidFill>
          <a:ln w="25400" cap="flat" cmpd="sng" algn="ctr">
            <a:noFill/>
            <a:miter lim="800000"/>
          </a:ln>
          <a:effectLst/>
        </c:spPr>
        <c:marker>
          <c:symbol val="circle"/>
          <c:size val="6"/>
          <c:spPr>
            <a:noFill/>
            <a:ln w="19050" cap="rnd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D3500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D3500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ED3500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D3500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D3500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ED3500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ED3500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ED3500"/>
          </a:solidFill>
          <a:ln w="25400" cap="flat" cmpd="sng" algn="ctr">
            <a:noFill/>
            <a:miter lim="800000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Table'!$C$2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D3500"/>
            </a:solidFill>
            <a:ln w="25400" cap="flat" cmpd="sng" algn="ctr">
              <a:noFill/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Table'!$B$3:$B$14</c:f>
              <c:strCache>
                <c:ptCount val="11"/>
                <c:pt idx="0">
                  <c:v>HDPE Bottle Cap Flakes</c:v>
                </c:pt>
                <c:pt idx="1">
                  <c:v>HDPE Blue Drum Flakes</c:v>
                </c:pt>
                <c:pt idx="2">
                  <c:v>PP White Flakes</c:v>
                </c:pt>
                <c:pt idx="3">
                  <c:v>PET Mixed Color Flakes</c:v>
                </c:pt>
                <c:pt idx="4">
                  <c:v>PET Hot Washed Flakes</c:v>
                </c:pt>
                <c:pt idx="5">
                  <c:v>HDPE Natural Flakes</c:v>
                </c:pt>
                <c:pt idx="6">
                  <c:v>HDPE Mixed Color Flakes</c:v>
                </c:pt>
                <c:pt idx="7">
                  <c:v>PP Injection Flakes</c:v>
                </c:pt>
                <c:pt idx="8">
                  <c:v>PET Green Flakes</c:v>
                </c:pt>
                <c:pt idx="9">
                  <c:v>PET Blue Flakes</c:v>
                </c:pt>
                <c:pt idx="10">
                  <c:v>PET Clear Flakes</c:v>
                </c:pt>
              </c:strCache>
            </c:strRef>
          </c:cat>
          <c:val>
            <c:numRef>
              <c:f>'Pivot Table'!$C$3:$C$14</c:f>
              <c:numCache>
                <c:formatCode>#,##0</c:formatCode>
                <c:ptCount val="11"/>
                <c:pt idx="0">
                  <c:v>30985</c:v>
                </c:pt>
                <c:pt idx="1">
                  <c:v>42445</c:v>
                </c:pt>
                <c:pt idx="2">
                  <c:v>55530</c:v>
                </c:pt>
                <c:pt idx="3">
                  <c:v>69905</c:v>
                </c:pt>
                <c:pt idx="4">
                  <c:v>81500</c:v>
                </c:pt>
                <c:pt idx="5">
                  <c:v>82685</c:v>
                </c:pt>
                <c:pt idx="6">
                  <c:v>84390</c:v>
                </c:pt>
                <c:pt idx="7">
                  <c:v>85110</c:v>
                </c:pt>
                <c:pt idx="8">
                  <c:v>85570</c:v>
                </c:pt>
                <c:pt idx="9">
                  <c:v>91620</c:v>
                </c:pt>
                <c:pt idx="10">
                  <c:v>93640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D-493B-8CAB-3FCE7E0D4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67834271"/>
        <c:axId val="67834751"/>
      </c:barChart>
      <c:catAx>
        <c:axId val="67834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rgbClr val="ED35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4751"/>
        <c:crosses val="autoZero"/>
        <c:auto val="1"/>
        <c:lblAlgn val="ctr"/>
        <c:lblOffset val="100"/>
        <c:noMultiLvlLbl val="0"/>
      </c:catAx>
      <c:valAx>
        <c:axId val="67834751"/>
        <c:scaling>
          <c:orientation val="minMax"/>
        </c:scaling>
        <c:delete val="0"/>
        <c:axPos val="l"/>
        <c:majorGridlines>
          <c:spPr>
            <a:ln w="9525">
              <a:solidFill>
                <a:srgbClr val="ED3500"/>
              </a:solidFill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D35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34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ED35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 Veolia.xlsx]Pivot Table!PivotTable6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bg1"/>
                </a:solidFill>
                <a:latin typeface="Poppins" panose="00000800000000000000" pitchFamily="2" charset="0"/>
                <a:ea typeface="+mn-ea"/>
                <a:cs typeface="Poppins" panose="00000800000000000000" pitchFamily="2" charset="0"/>
              </a:defRPr>
            </a:pPr>
            <a:r>
              <a:rPr lang="en-US" sz="18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Total Purchase</a:t>
            </a:r>
            <a:r>
              <a:rPr lang="en-US" sz="1800" b="1" baseline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 Order</a:t>
            </a:r>
            <a:r>
              <a:rPr lang="en-US" sz="1800" b="1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 Product (Juta)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bg1"/>
              </a:solidFill>
              <a:latin typeface="Poppins" panose="00000800000000000000" pitchFamily="2" charset="0"/>
              <a:ea typeface="+mn-ea"/>
              <a:cs typeface="Poppins" panose="00000800000000000000" pitchFamily="2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35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35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35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35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35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35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35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35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ED35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Table'!$AB$2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ED35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Table'!$AA$3:$AA$14</c:f>
              <c:strCache>
                <c:ptCount val="11"/>
                <c:pt idx="0">
                  <c:v>HDPE Bottle Cap Flakes</c:v>
                </c:pt>
                <c:pt idx="1">
                  <c:v>HDPE Blue Drum Flakes</c:v>
                </c:pt>
                <c:pt idx="2">
                  <c:v>PET Mixed Color Flakes</c:v>
                </c:pt>
                <c:pt idx="3">
                  <c:v>PP White Flakes</c:v>
                </c:pt>
                <c:pt idx="4">
                  <c:v>PET Green Flakes</c:v>
                </c:pt>
                <c:pt idx="5">
                  <c:v>HDPE Mixed Color Flakes</c:v>
                </c:pt>
                <c:pt idx="6">
                  <c:v>PET Blue Flakes</c:v>
                </c:pt>
                <c:pt idx="7">
                  <c:v>PP Injection Flakes</c:v>
                </c:pt>
                <c:pt idx="8">
                  <c:v>HDPE Natural Flakes</c:v>
                </c:pt>
                <c:pt idx="9">
                  <c:v>PET Clear Flakes</c:v>
                </c:pt>
                <c:pt idx="10">
                  <c:v>PET Hot Washed Flakes</c:v>
                </c:pt>
              </c:strCache>
            </c:strRef>
          </c:cat>
          <c:val>
            <c:numRef>
              <c:f>'Pivot Table'!$AB$3:$AB$14</c:f>
              <c:numCache>
                <c:formatCode>#,###\ \J\u\t\a</c:formatCode>
                <c:ptCount val="11"/>
                <c:pt idx="0">
                  <c:v>325.34250000000009</c:v>
                </c:pt>
                <c:pt idx="1">
                  <c:v>488.11750000000006</c:v>
                </c:pt>
                <c:pt idx="2">
                  <c:v>594.1925</c:v>
                </c:pt>
                <c:pt idx="3">
                  <c:v>666.3599999999999</c:v>
                </c:pt>
                <c:pt idx="4">
                  <c:v>770.13000000000011</c:v>
                </c:pt>
                <c:pt idx="5">
                  <c:v>801.70499999999981</c:v>
                </c:pt>
                <c:pt idx="6">
                  <c:v>916.19999999999993</c:v>
                </c:pt>
                <c:pt idx="7">
                  <c:v>936.21000000000015</c:v>
                </c:pt>
                <c:pt idx="8">
                  <c:v>1116.2474999999999</c:v>
                </c:pt>
                <c:pt idx="9">
                  <c:v>1170.5</c:v>
                </c:pt>
                <c:pt idx="10">
                  <c:v>1181.7499999999998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C1-4573-AFC1-6D0F1A91317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198657391"/>
        <c:axId val="198657871"/>
      </c:barChart>
      <c:catAx>
        <c:axId val="198657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57871"/>
        <c:crosses val="autoZero"/>
        <c:auto val="1"/>
        <c:lblAlgn val="ctr"/>
        <c:lblOffset val="100"/>
        <c:noMultiLvlLbl val="0"/>
      </c:catAx>
      <c:valAx>
        <c:axId val="19865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\ \J\u\t\a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5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ED3500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35000"/>
          <a:lumOff val="6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/>
    <cs:fontRef idx="minor">
      <a:schemeClr val="dk1"/>
    </cs:fontRef>
    <cs:spPr>
      <a:noFill/>
      <a:ln w="25400" cap="flat" cmpd="sng" algn="ctr">
        <a:solidFill>
          <a:schemeClr val="phClr"/>
        </a:solidFill>
        <a:miter lim="800000"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flat" cmpd="sng" algn="ctr">
        <a:solidFill>
          <a:schemeClr val="phClr"/>
        </a:solidFill>
        <a:miter lim="800000"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1"/>
    <cs:effectRef idx="0"/>
    <cs:fontRef idx="minor">
      <a:schemeClr val="tx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1391</xdr:colOff>
      <xdr:row>1</xdr:row>
      <xdr:rowOff>0</xdr:rowOff>
    </xdr:from>
    <xdr:to>
      <xdr:col>5</xdr:col>
      <xdr:colOff>423326</xdr:colOff>
      <xdr:row>5</xdr:row>
      <xdr:rowOff>167105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A26706FB-E9CE-4E2E-BC04-8BDDA057E5C2}"/>
            </a:ext>
          </a:extLst>
        </xdr:cNvPr>
        <xdr:cNvGrpSpPr/>
      </xdr:nvGrpSpPr>
      <xdr:grpSpPr>
        <a:xfrm>
          <a:off x="614110" y="189386"/>
          <a:ext cx="2872812" cy="924649"/>
          <a:chOff x="2825750" y="193811"/>
          <a:chExt cx="1155700" cy="1110101"/>
        </a:xfrm>
        <a:solidFill>
          <a:srgbClr val="ED3500"/>
        </a:solidFill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2A1192F9-93C7-7BDF-9A2B-43C8FFB49577}"/>
              </a:ext>
            </a:extLst>
          </xdr:cNvPr>
          <xdr:cNvSpPr txBox="1"/>
        </xdr:nvSpPr>
        <xdr:spPr>
          <a:xfrm>
            <a:off x="2825750" y="193811"/>
            <a:ext cx="1155700" cy="1110101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2000" b="0">
                <a:solidFill>
                  <a:schemeClr val="bg1"/>
                </a:solidFill>
                <a:latin typeface="Arial Rounded MT Bold" panose="020F0704030504030204" pitchFamily="34" charset="0"/>
                <a:cs typeface="Poppins" panose="00000800000000000000" pitchFamily="2" charset="0"/>
              </a:rPr>
              <a:t>Rp 8.966.755.000</a:t>
            </a: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ED54A31F-4AA8-4473-5FCB-AA20DC596E8A}"/>
              </a:ext>
            </a:extLst>
          </xdr:cNvPr>
          <xdr:cNvSpPr txBox="1"/>
        </xdr:nvSpPr>
        <xdr:spPr>
          <a:xfrm>
            <a:off x="2832799" y="313457"/>
            <a:ext cx="1140486" cy="352738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8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Total Pendapatan</a:t>
            </a:r>
          </a:p>
        </xdr:txBody>
      </xdr:sp>
    </xdr:grpSp>
    <xdr:clientData/>
  </xdr:twoCellAnchor>
  <xdr:twoCellAnchor>
    <xdr:from>
      <xdr:col>1</xdr:col>
      <xdr:colOff>0</xdr:colOff>
      <xdr:row>7</xdr:row>
      <xdr:rowOff>0</xdr:rowOff>
    </xdr:from>
    <xdr:to>
      <xdr:col>5</xdr:col>
      <xdr:colOff>421935</xdr:colOff>
      <xdr:row>11</xdr:row>
      <xdr:rowOff>167105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4DF2A4A-29A8-4ED3-95F1-0A6C66F30A7A}"/>
            </a:ext>
          </a:extLst>
        </xdr:cNvPr>
        <xdr:cNvGrpSpPr/>
      </xdr:nvGrpSpPr>
      <xdr:grpSpPr>
        <a:xfrm>
          <a:off x="612719" y="1325702"/>
          <a:ext cx="2872812" cy="924649"/>
          <a:chOff x="2825750" y="193811"/>
          <a:chExt cx="1155700" cy="1110101"/>
        </a:xfrm>
        <a:noFill/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61FF47C9-4287-727D-1329-1A4A53FD3DDA}"/>
              </a:ext>
            </a:extLst>
          </xdr:cNvPr>
          <xdr:cNvSpPr txBox="1"/>
        </xdr:nvSpPr>
        <xdr:spPr>
          <a:xfrm>
            <a:off x="2825750" y="193811"/>
            <a:ext cx="1155700" cy="1110101"/>
          </a:xfrm>
          <a:prstGeom prst="roundRect">
            <a:avLst/>
          </a:prstGeom>
          <a:grpFill/>
          <a:ln w="12700" cmpd="sng">
            <a:solidFill>
              <a:srgbClr val="ED35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2000" b="0">
                <a:solidFill>
                  <a:srgbClr val="ED3500"/>
                </a:solidFill>
                <a:latin typeface="Arial Rounded MT Bold" panose="020F0704030504030204" pitchFamily="34" charset="0"/>
                <a:cs typeface="Poppins" panose="00000800000000000000" pitchFamily="2" charset="0"/>
              </a:rPr>
              <a:t>11</a:t>
            </a: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AF386985-0539-3BB6-1588-391C23B7592B}"/>
              </a:ext>
            </a:extLst>
          </xdr:cNvPr>
          <xdr:cNvSpPr txBox="1"/>
        </xdr:nvSpPr>
        <xdr:spPr>
          <a:xfrm>
            <a:off x="2832799" y="313457"/>
            <a:ext cx="1140486" cy="352738"/>
          </a:xfrm>
          <a:prstGeom prst="rect">
            <a:avLst/>
          </a:prstGeom>
          <a:grpFill/>
          <a:ln w="12700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800" b="0">
                <a:solidFill>
                  <a:srgbClr val="ED3500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Total Produk</a:t>
            </a:r>
          </a:p>
        </xdr:txBody>
      </xdr:sp>
    </xdr:grp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421935</xdr:colOff>
      <xdr:row>17</xdr:row>
      <xdr:rowOff>167105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D62C17D-649F-4C28-A95B-12EFE9887115}"/>
            </a:ext>
          </a:extLst>
        </xdr:cNvPr>
        <xdr:cNvGrpSpPr/>
      </xdr:nvGrpSpPr>
      <xdr:grpSpPr>
        <a:xfrm>
          <a:off x="612719" y="2462018"/>
          <a:ext cx="2872812" cy="924648"/>
          <a:chOff x="2825750" y="193811"/>
          <a:chExt cx="1155700" cy="1110101"/>
        </a:xfrm>
        <a:solidFill>
          <a:srgbClr val="ED3500"/>
        </a:solidFill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5654B700-3B0B-2BD8-B7C9-2245D39DB8DA}"/>
              </a:ext>
            </a:extLst>
          </xdr:cNvPr>
          <xdr:cNvSpPr txBox="1"/>
        </xdr:nvSpPr>
        <xdr:spPr>
          <a:xfrm>
            <a:off x="2825750" y="193811"/>
            <a:ext cx="1155700" cy="1110101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2000" b="0">
                <a:solidFill>
                  <a:schemeClr val="bg1"/>
                </a:solidFill>
                <a:latin typeface="Arial Rounded MT Bold" panose="020F0704030504030204" pitchFamily="34" charset="0"/>
                <a:cs typeface="Poppins" panose="00000800000000000000" pitchFamily="2" charset="0"/>
              </a:rPr>
              <a:t>7</a:t>
            </a:r>
          </a:p>
        </xdr:txBody>
      </xdr: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714CF7E2-3E33-4FD5-F4CE-1A43D4402AC7}"/>
              </a:ext>
            </a:extLst>
          </xdr:cNvPr>
          <xdr:cNvSpPr txBox="1"/>
        </xdr:nvSpPr>
        <xdr:spPr>
          <a:xfrm>
            <a:off x="2832799" y="313457"/>
            <a:ext cx="1140486" cy="352738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8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Total Customer</a:t>
            </a:r>
          </a:p>
        </xdr:txBody>
      </xdr:sp>
    </xdr:grpSp>
    <xdr:clientData/>
  </xdr:twoCellAnchor>
  <xdr:twoCellAnchor>
    <xdr:from>
      <xdr:col>6</xdr:col>
      <xdr:colOff>0</xdr:colOff>
      <xdr:row>1</xdr:row>
      <xdr:rowOff>0</xdr:rowOff>
    </xdr:from>
    <xdr:to>
      <xdr:col>14</xdr:col>
      <xdr:colOff>184118</xdr:colOff>
      <xdr:row>17</xdr:row>
      <xdr:rowOff>178512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C547846F-69FC-4ACE-A24D-3927DA812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317494</xdr:colOff>
      <xdr:row>1</xdr:row>
      <xdr:rowOff>0</xdr:rowOff>
    </xdr:from>
    <xdr:to>
      <xdr:col>22</xdr:col>
      <xdr:colOff>501612</xdr:colOff>
      <xdr:row>17</xdr:row>
      <xdr:rowOff>178512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BF1D3937-68ED-4D00-AD30-CA7CE035AA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1013</xdr:colOff>
      <xdr:row>39</xdr:row>
      <xdr:rowOff>94781</xdr:rowOff>
    </xdr:from>
    <xdr:to>
      <xdr:col>22</xdr:col>
      <xdr:colOff>462245</xdr:colOff>
      <xdr:row>63</xdr:row>
      <xdr:rowOff>61848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C1D7DD1C-8AA9-404A-9677-155AA3090C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11</xdr:col>
      <xdr:colOff>374231</xdr:colOff>
      <xdr:row>38</xdr:row>
      <xdr:rowOff>81042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A9E9FE2B-9125-45FB-8E13-894F978384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605464</xdr:colOff>
      <xdr:row>19</xdr:row>
      <xdr:rowOff>0</xdr:rowOff>
    </xdr:from>
    <xdr:to>
      <xdr:col>22</xdr:col>
      <xdr:colOff>497347</xdr:colOff>
      <xdr:row>38</xdr:row>
      <xdr:rowOff>79278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A5BA83B2-4495-4E26-9021-BF0DAC0D78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50029</xdr:colOff>
      <xdr:row>1</xdr:row>
      <xdr:rowOff>0</xdr:rowOff>
    </xdr:from>
    <xdr:to>
      <xdr:col>27</xdr:col>
      <xdr:colOff>289595</xdr:colOff>
      <xdr:row>9</xdr:row>
      <xdr:rowOff>46822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AC158BA7-BB9B-4AFA-9085-9441F8A34EFC}"/>
            </a:ext>
          </a:extLst>
        </xdr:cNvPr>
        <xdr:cNvGrpSpPr/>
      </xdr:nvGrpSpPr>
      <xdr:grpSpPr>
        <a:xfrm>
          <a:off x="14142573" y="189386"/>
          <a:ext cx="2690443" cy="1561910"/>
          <a:chOff x="2825750" y="193811"/>
          <a:chExt cx="1155700" cy="1072125"/>
        </a:xfrm>
        <a:solidFill>
          <a:srgbClr val="ED3500"/>
        </a:solidFill>
      </xdr:grpSpPr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48DC8A27-F826-1872-072E-F3B0F1495FE8}"/>
              </a:ext>
            </a:extLst>
          </xdr:cNvPr>
          <xdr:cNvSpPr txBox="1"/>
        </xdr:nvSpPr>
        <xdr:spPr>
          <a:xfrm>
            <a:off x="2825750" y="193811"/>
            <a:ext cx="1155700" cy="1072125"/>
          </a:xfrm>
          <a:prstGeom prst="round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b"/>
          <a:lstStyle/>
          <a:p>
            <a:pPr algn="ctr"/>
            <a:r>
              <a:rPr lang="en-ID" sz="1000">
                <a:solidFill>
                  <a:schemeClr val="bg1"/>
                </a:solidFill>
              </a:rPr>
              <a:t>Proyek ini menggunakan </a:t>
            </a:r>
            <a:r>
              <a:rPr lang="en-ID" sz="1000" b="1">
                <a:solidFill>
                  <a:schemeClr val="bg1"/>
                </a:solidFill>
              </a:rPr>
              <a:t>data buatan (synthetic data)</a:t>
            </a:r>
            <a:r>
              <a:rPr lang="en-ID" sz="1000">
                <a:solidFill>
                  <a:schemeClr val="bg1"/>
                </a:solidFill>
              </a:rPr>
              <a:t> yang dibuat secara mandiri menggunakan bantuan AI. Struktur data dirancang berdasarkan pengalaman praktis berdasarkan</a:t>
            </a:r>
            <a:r>
              <a:rPr lang="en-ID" sz="1000" baseline="0">
                <a:solidFill>
                  <a:schemeClr val="bg1"/>
                </a:solidFill>
              </a:rPr>
              <a:t> pengalaman magang</a:t>
            </a:r>
            <a:r>
              <a:rPr lang="en-ID" sz="1000">
                <a:solidFill>
                  <a:schemeClr val="bg1"/>
                </a:solidFill>
              </a:rPr>
              <a:t> untuk mendemonstrasikan kemampuan analisis HR &amp; Marketing Administration secara objektif.</a:t>
            </a:r>
            <a:endParaRPr lang="en-ID" sz="1000" b="0">
              <a:solidFill>
                <a:schemeClr val="bg1"/>
              </a:solidFill>
              <a:latin typeface="Arial Rounded MT Bold" panose="020F0704030504030204" pitchFamily="34" charset="0"/>
              <a:cs typeface="Poppins" panose="00000800000000000000" pitchFamily="2" charset="0"/>
            </a:endParaRPr>
          </a:p>
        </xdr:txBody>
      </xdr:sp>
      <xdr:sp macro="" textlink="">
        <xdr:nvSpPr>
          <xdr:cNvPr id="47" name="TextBox 46">
            <a:extLst>
              <a:ext uri="{FF2B5EF4-FFF2-40B4-BE49-F238E27FC236}">
                <a16:creationId xmlns:a16="http://schemas.microsoft.com/office/drawing/2014/main" id="{BF11A8D0-C9A9-0AB2-8DB3-2D2EBFD66243}"/>
              </a:ext>
            </a:extLst>
          </xdr:cNvPr>
          <xdr:cNvSpPr txBox="1"/>
        </xdr:nvSpPr>
        <xdr:spPr>
          <a:xfrm>
            <a:off x="3046039" y="269501"/>
            <a:ext cx="723633" cy="108552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1200" b="0">
                <a:solidFill>
                  <a:schemeClr val="bg1"/>
                </a:solidFill>
                <a:latin typeface="Poppins" panose="00000800000000000000" pitchFamily="2" charset="0"/>
                <a:cs typeface="Poppins" panose="00000800000000000000" pitchFamily="2" charset="0"/>
              </a:rPr>
              <a:t>Note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yad" refreshedDate="46090.008126736109" createdVersion="8" refreshedVersion="8" minRefreshableVersion="3" recordCount="311" xr:uid="{DEF25B91-10F7-4B11-88A5-CCCF2AEF73C5}">
  <cacheSource type="worksheet">
    <worksheetSource ref="B2:I313" sheet="Purchase Order"/>
  </cacheSource>
  <cacheFields count="8">
    <cacheField name="Tanggal Input" numFmtId="14">
      <sharedItems containsSemiMixedTypes="0" containsNonDate="0" containsDate="1" containsString="0" minDate="2024-12-27T00:00:00" maxDate="2025-12-16T00:00:00"/>
    </cacheField>
    <cacheField name="Kode PO" numFmtId="0">
      <sharedItems/>
    </cacheField>
    <cacheField name="Nama Klien" numFmtId="0">
      <sharedItems/>
    </cacheField>
    <cacheField name="Kode Barang" numFmtId="0">
      <sharedItems count="11">
        <s v="BP001"/>
        <s v="BP002"/>
        <s v="BP003"/>
        <s v="BP004"/>
        <s v="BP005"/>
        <s v="BP006"/>
        <s v="BP007"/>
        <s v="BP008"/>
        <s v="BP009"/>
        <s v="BP010"/>
        <s v="BP011"/>
      </sharedItems>
    </cacheField>
    <cacheField name="Nama Barang" numFmtId="0">
      <sharedItems count="11">
        <s v="PET Clear Flakes"/>
        <s v="PET Blue Flakes"/>
        <s v="HDPE Natural Flakes"/>
        <s v="HDPE Mixed Color Flakes"/>
        <s v="PP Injection Flakes"/>
        <s v="PET Green Flakes"/>
        <s v="HDPE Blue Drum Flakes"/>
        <s v="PET Mixed Color Flakes"/>
        <s v="PP White Flakes"/>
        <s v="HDPE Bottle Cap Flakes"/>
        <s v="PET Hot Washed Flakes"/>
      </sharedItems>
    </cacheField>
    <cacheField name="Qty" numFmtId="0">
      <sharedItems containsSemiMixedTypes="0" containsString="0" containsNumber="1" containsInteger="1" minValue="1205" maxValue="4200"/>
    </cacheField>
    <cacheField name="Satuan" numFmtId="0">
      <sharedItems/>
    </cacheField>
    <cacheField name="Tanggal Pengiriman" numFmtId="14">
      <sharedItems containsSemiMixedTypes="0" containsNonDate="0" containsDate="1" containsString="0" minDate="2025-01-03T00:00:00" maxDate="2025-12-24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yad" refreshedDate="46090.009497222221" createdVersion="8" refreshedVersion="8" minRefreshableVersion="3" recordCount="311" xr:uid="{38EF905A-2DC8-469C-8174-EEC0BCD864C3}">
  <cacheSource type="worksheet">
    <worksheetSource ref="B2:I313" sheet="Delivery Order"/>
  </cacheSource>
  <cacheFields count="8">
    <cacheField name="No DO" numFmtId="0">
      <sharedItems/>
    </cacheField>
    <cacheField name="Tanggal DO" numFmtId="14">
      <sharedItems containsSemiMixedTypes="0" containsNonDate="0" containsDate="1" containsString="0" minDate="2025-01-03T00:00:00" maxDate="2025-12-24T00:00:00"/>
    </cacheField>
    <cacheField name="No PO" numFmtId="0">
      <sharedItems/>
    </cacheField>
    <cacheField name="Nama Klien" numFmtId="0">
      <sharedItems count="7">
        <s v="PT Maju Jaya Plastik"/>
        <s v="PT Surya Polimer Indonesia"/>
        <s v="PT Mitra Plastik Nusantara"/>
        <s v="PT Global Recycle Industry"/>
        <s v="PT Indo Plastik Mandiri"/>
        <s v="PT Cahaya Plastik Abadi"/>
        <s v="PT Bintang Daur Ulang"/>
      </sharedItems>
    </cacheField>
    <cacheField name="Kode Barang" numFmtId="0">
      <sharedItems/>
    </cacheField>
    <cacheField name="Nama Barang" numFmtId="0">
      <sharedItems/>
    </cacheField>
    <cacheField name="Qty" numFmtId="0">
      <sharedItems containsSemiMixedTypes="0" containsString="0" containsNumber="1" containsInteger="1" minValue="1205" maxValue="4200"/>
    </cacheField>
    <cacheField name="Satu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yad" refreshedDate="46090.009814583333" createdVersion="8" refreshedVersion="8" minRefreshableVersion="3" recordCount="311" xr:uid="{A77A1DE2-F6C1-4C3B-B6BA-ABA494E2BCDA}">
  <cacheSource type="worksheet">
    <worksheetSource ref="B2:L313" sheet="Invoice"/>
  </cacheSource>
  <cacheFields count="14">
    <cacheField name="No Invoice" numFmtId="0">
      <sharedItems/>
    </cacheField>
    <cacheField name="Tanggal Invoice" numFmtId="14">
      <sharedItems containsSemiMixedTypes="0" containsNonDate="0" containsDate="1" containsString="0" minDate="2020-07-15T00:00:00" maxDate="2025-12-24T00:00:00" count="267"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2T00:00:00"/>
        <d v="2025-01-24T00:00:00"/>
        <d v="2025-01-26T00:00:00"/>
        <d v="2025-01-29T00:00:00"/>
        <d v="2025-02-01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8T00:00:00"/>
        <d v="2025-03-19T00:00:00"/>
        <d v="2025-03-21T00:00:00"/>
        <d v="2025-03-23T00:00:00"/>
        <d v="2025-03-24T00:00:00"/>
        <d v="2025-03-26T00:00:00"/>
        <d v="2025-03-28T00:00:00"/>
        <d v="2025-03-30T00:00:00"/>
        <d v="2025-03-31T00:00:00"/>
        <d v="2025-04-03T00:00:00"/>
        <d v="2025-04-04T00:00:00"/>
        <d v="2025-04-06T00:00:00"/>
        <d v="2025-04-07T00:00:00"/>
        <d v="2025-04-08T00:00:00"/>
        <d v="2025-04-09T00:00:00"/>
        <d v="2025-04-10T00:00:00"/>
        <d v="2025-04-11T00:00:00"/>
        <d v="2025-04-15T00:00:00"/>
        <d v="2025-04-16T00:00:00"/>
        <d v="2025-04-18T00:00:00"/>
        <d v="2025-04-19T00:00:00"/>
        <d v="2025-04-23T00:00:00"/>
        <d v="2025-04-24T00:00:00"/>
        <d v="2025-04-27T00:00:00"/>
        <d v="2025-04-28T00:00:00"/>
        <d v="2025-04-30T00:00:00"/>
        <d v="2025-05-01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0-07-15T00:00:00"/>
        <d v="2020-07-16T00:00:00"/>
        <d v="2020-07-17T00:00:00"/>
        <d v="2025-07-18T00:00:00"/>
        <d v="2025-07-19T00:00:00"/>
        <d v="2025-07-20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10-03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</sharedItems>
      <fieldGroup par="13"/>
    </cacheField>
    <cacheField name="No DO" numFmtId="0">
      <sharedItems count="311">
        <s v="DO030125001"/>
        <s v="DO040125002"/>
        <s v="DO050125003"/>
        <s v="DO050125004"/>
        <s v="DO060125005"/>
        <s v="DO070125006"/>
        <s v="DO070125007"/>
        <s v="DO080125008"/>
        <s v="DO090125009"/>
        <s v="DO100125010"/>
        <s v="DO110125011"/>
        <s v="DO120125012"/>
        <s v="DO130125013"/>
        <s v="DO140125014"/>
        <s v="DO150125015"/>
        <s v="DO160125016"/>
        <s v="DO170125017"/>
        <s v="DO180125018"/>
        <s v="DO190125019"/>
        <s v="DO200125020"/>
        <s v="DO220125021"/>
        <s v="DO240125022"/>
        <s v="DO260125023"/>
        <s v="DO290125024"/>
        <s v="DO010225001"/>
        <s v="DO030225002"/>
        <s v="DO040225003"/>
        <s v="DO050225004"/>
        <s v="DO050225005"/>
        <s v="DO060225006"/>
        <s v="DO060225007"/>
        <s v="DO070225008"/>
        <s v="DO070225009"/>
        <s v="DO080225010"/>
        <s v="DO080225011"/>
        <s v="DO090225012"/>
        <s v="DO090225013"/>
        <s v="DO100225014"/>
        <s v="DO100225015"/>
        <s v="DO110225016"/>
        <s v="DO110225017"/>
        <s v="DO120225018"/>
        <s v="DO120225019"/>
        <s v="DO130225020"/>
        <s v="DO130225021"/>
        <s v="DO140225022"/>
        <s v="DO150225023"/>
        <s v="DO160225024"/>
        <s v="DO170225025"/>
        <s v="DO180225026"/>
        <s v="DO030325001"/>
        <s v="DO040325002"/>
        <s v="DO050325003"/>
        <s v="DO060325004"/>
        <s v="DO060325005"/>
        <s v="DO070325006"/>
        <s v="DO080325007"/>
        <s v="DO080325008"/>
        <s v="DO090325009"/>
        <s v="DO100325010"/>
        <s v="DO110325011"/>
        <s v="DO120325012"/>
        <s v="DO130325013"/>
        <s v="DO140325014"/>
        <s v="DO150325015"/>
        <s v="DO160325016"/>
        <s v="DO180325017"/>
        <s v="DO190325018"/>
        <s v="DO210325019"/>
        <s v="DO230325020"/>
        <s v="DO240325021"/>
        <s v="DO260325022"/>
        <s v="DO280325023"/>
        <s v="DO300325024"/>
        <s v="DO310325025"/>
        <s v="DO030425001"/>
        <s v="DO040425002"/>
        <s v="DO040425003"/>
        <s v="DO060425004"/>
        <s v="DO060425005"/>
        <s v="DO070425006"/>
        <s v="DO080425007"/>
        <s v="DO080425008"/>
        <s v="DO090425009"/>
        <s v="DO100425010"/>
        <s v="DO110425011"/>
        <s v="DO110425012"/>
        <s v="DO150425013"/>
        <s v="DO150425014"/>
        <s v="DO160425015"/>
        <s v="DO180425016"/>
        <s v="DO180425017"/>
        <s v="DO190425018"/>
        <s v="DO230425019"/>
        <s v="DO230425020"/>
        <s v="DO240425021"/>
        <s v="DO270425022"/>
        <s v="DO270425023"/>
        <s v="DO280425024"/>
        <s v="DO300425025"/>
        <s v="DO300425026"/>
        <s v="DO010525001"/>
        <s v="DO040525002"/>
        <s v="DO040525003"/>
        <s v="DO050525004"/>
        <s v="DO060525005"/>
        <s v="DO070525006"/>
        <s v="DO070525007"/>
        <s v="DO080525008"/>
        <s v="DO090525009"/>
        <s v="DO100525010"/>
        <s v="DO110525011"/>
        <s v="DO120525012"/>
        <s v="DO130525013"/>
        <s v="DO140525014"/>
        <s v="DO150525015"/>
        <s v="DO160525016"/>
        <s v="DO170525017"/>
        <s v="DO180525018"/>
        <s v="DO190525019"/>
        <s v="DO200525020"/>
        <s v="DO210525021"/>
        <s v="DO220525022"/>
        <s v="DO230525023"/>
        <s v="DO240525024"/>
        <s v="DO250525025"/>
        <s v="DO260525026"/>
        <s v="DO270525027"/>
        <s v="DO280525028"/>
        <s v="DO030625001"/>
        <s v="DO040625002"/>
        <s v="DO050625003"/>
        <s v="DO060625004"/>
        <s v="DO070625005"/>
        <s v="DO080625006"/>
        <s v="DO090625007"/>
        <s v="DO100625008"/>
        <s v="DO110625009"/>
        <s v="DO120625010"/>
        <s v="DO130625011"/>
        <s v="DO140625012"/>
        <s v="DO150625013"/>
        <s v="DO160625014"/>
        <s v="DO170625015"/>
        <s v="DO180625016"/>
        <s v="DO190625017"/>
        <s v="DO200625018"/>
        <s v="DO210625019"/>
        <s v="DO220625020"/>
        <s v="DO230625021"/>
        <s v="DO240625022"/>
        <s v="DO250625023"/>
        <s v="DO260625024"/>
        <s v="DO270625025"/>
        <s v="DO280625026"/>
        <s v="DO030725001"/>
        <s v="DO040725002"/>
        <s v="DO040725003"/>
        <s v="DO050725004"/>
        <s v="DO050725005"/>
        <s v="DO060725006"/>
        <s v="DO060725007"/>
        <s v="DO070725008"/>
        <s v="DO070725009"/>
        <s v="DO080725010"/>
        <s v="DO080725011"/>
        <s v="DO080725012"/>
        <s v="DO090725013"/>
        <s v="DO090725014"/>
        <s v="DO100725015"/>
        <s v="DO100725016"/>
        <s v="DO110725017"/>
        <s v="DO120725018"/>
        <s v="DO130725019"/>
        <s v="DO140725020"/>
        <s v="DO150725021"/>
        <s v="DO160725022"/>
        <s v="DO170725023"/>
        <s v="DO180725024"/>
        <s v="DO190725025"/>
        <s v="DO200725026"/>
        <s v="DO030825001"/>
        <s v="DO040825002"/>
        <s v="DO050825003"/>
        <s v="DO060825004"/>
        <s v="DO070825005"/>
        <s v="DO080825006"/>
        <s v="DO090825007"/>
        <s v="DO100825008"/>
        <s v="DO110825009"/>
        <s v="DO120825010"/>
        <s v="DO130825011"/>
        <s v="DO140825012"/>
        <s v="DO150825013"/>
        <s v="DO160825014"/>
        <s v="DO170825015"/>
        <s v="DO180825016"/>
        <s v="DO190825017"/>
        <s v="DO200825018"/>
        <s v="DO210825019"/>
        <s v="DO220825020"/>
        <s v="DO230825021"/>
        <s v="DO240825022"/>
        <s v="DO250825023"/>
        <s v="DO260825024"/>
        <s v="DO270825025"/>
        <s v="DO030925001"/>
        <s v="DO040925002"/>
        <s v="DO050925003"/>
        <s v="DO060925004"/>
        <s v="DO070925005"/>
        <s v="DO070925006"/>
        <s v="DO080925007"/>
        <s v="DO090925008"/>
        <s v="DO100925009"/>
        <s v="DO110925010"/>
        <s v="DO120925011"/>
        <s v="DO130925012"/>
        <s v="DO130925013"/>
        <s v="DO140925014"/>
        <s v="DO150925015"/>
        <s v="DO160925016"/>
        <s v="DO170925017"/>
        <s v="DO180925018"/>
        <s v="DO190925019"/>
        <s v="DO200925020"/>
        <s v="DO210925021"/>
        <s v="DO220925022"/>
        <s v="DO230925023"/>
        <s v="DO240925024"/>
        <s v="DO250925025"/>
        <s v="DO260925026"/>
        <s v="DO270925027"/>
        <s v="DO031025001"/>
        <s v="DO051025002"/>
        <s v="DO061025003"/>
        <s v="DO071025004"/>
        <s v="DO081025005"/>
        <s v="DO091025006"/>
        <s v="DO101025007"/>
        <s v="DO111025008"/>
        <s v="DO121025009"/>
        <s v="DO131025010"/>
        <s v="DO141025011"/>
        <s v="DO151025012"/>
        <s v="DO161025013"/>
        <s v="DO171025014"/>
        <s v="DO181025015"/>
        <s v="DO191025016"/>
        <s v="DO201025017"/>
        <s v="DO211025018"/>
        <s v="DO221025019"/>
        <s v="DO231025020"/>
        <s v="DO241025021"/>
        <s v="DO251025022"/>
        <s v="DO261025023"/>
        <s v="DO271025024"/>
        <s v="DO281025025"/>
        <s v="DO031125001"/>
        <s v="DO041125002"/>
        <s v="DO041125003"/>
        <s v="DO051125004"/>
        <s v="DO051125005"/>
        <s v="DO061125006"/>
        <s v="DO061125007"/>
        <s v="DO071125008"/>
        <s v="DO071125009"/>
        <s v="DO081125010"/>
        <s v="DO091125011"/>
        <s v="DO101125012"/>
        <s v="DO111125013"/>
        <s v="DO121125014"/>
        <s v="DO131125015"/>
        <s v="DO141125016"/>
        <s v="DO151125017"/>
        <s v="DO161125018"/>
        <s v="DO171125019"/>
        <s v="DO181125020"/>
        <s v="DO191125021"/>
        <s v="DO201125022"/>
        <s v="DO211125023"/>
        <s v="DO221125024"/>
        <s v="DO231125025"/>
        <s v="DO241125026"/>
        <s v="DO031225001"/>
        <s v="DO041225002"/>
        <s v="DO041225003"/>
        <s v="DO051225004"/>
        <s v="DO051225005"/>
        <s v="DO061225006"/>
        <s v="DO061225007"/>
        <s v="DO071225008"/>
        <s v="DO071225009"/>
        <s v="DO081225010"/>
        <s v="DO081225011"/>
        <s v="DO091225012"/>
        <s v="DO091225013"/>
        <s v="DO101225014"/>
        <s v="DO111225015"/>
        <s v="DO121225016"/>
        <s v="DO131225017"/>
        <s v="DO141225018"/>
        <s v="DO151225019"/>
        <s v="DO161225020"/>
        <s v="DO171225021"/>
        <s v="DO181225022"/>
        <s v="DO191225023"/>
        <s v="DO201225024"/>
        <s v="DO211225025"/>
        <s v="DO221225026"/>
        <s v="DO231225027"/>
      </sharedItems>
    </cacheField>
    <cacheField name="No PO" numFmtId="0">
      <sharedItems count="311">
        <s v="PO01012501"/>
        <s v="PO01012502"/>
        <s v="PO02012501"/>
        <s v="PO02012502"/>
        <s v="PO03012501"/>
        <s v="PO03012502"/>
        <s v="PO04012501"/>
        <s v="PO04012502"/>
        <s v="PO05012501"/>
        <s v="PO06012501"/>
        <s v="PO07012501"/>
        <s v="PO08012501"/>
        <s v="PO09012501"/>
        <s v="PO10012501"/>
        <s v="PO11012501"/>
        <s v="PO12012501"/>
        <s v="PO13012501"/>
        <s v="PO14012501"/>
        <s v="PO15012501"/>
        <s v="PO16012501"/>
        <s v="PO18012501"/>
        <s v="PO20012501"/>
        <s v="PO23012501"/>
        <s v="PO26012501"/>
        <s v="PO29012501"/>
        <s v="PO01022501"/>
        <s v="PO01022502"/>
        <s v="PO01022503"/>
        <s v="PO02022501"/>
        <s v="PO02022502"/>
        <s v="PO03022501"/>
        <s v="PO03022502"/>
        <s v="PO04022501"/>
        <s v="PO04022502"/>
        <s v="PO05022501"/>
        <s v="PO05022502"/>
        <s v="PO06022501"/>
        <s v="PO06022502"/>
        <s v="PO07022501"/>
        <s v="PO07022502"/>
        <s v="PO08022501"/>
        <s v="PO08022502"/>
        <s v="PO09022501"/>
        <s v="PO10022501"/>
        <s v="PO10022502"/>
        <s v="PO11022501"/>
        <s v="PO12022501"/>
        <s v="PO13022501"/>
        <s v="PO14022501"/>
        <s v="PO15022501"/>
        <s v="PO01032501"/>
        <s v="PO01032502"/>
        <s v="PO02032501"/>
        <s v="PO03032501"/>
        <s v="PO03032502"/>
        <s v="PO04032501"/>
        <s v="PO05032501"/>
        <s v="PO05032502"/>
        <s v="PO06032501"/>
        <s v="PO07032501"/>
        <s v="PO08032501"/>
        <s v="PO09032501"/>
        <s v="PO10032501"/>
        <s v="PO11032501"/>
        <s v="PO12032501"/>
        <s v="PO13032501"/>
        <s v="PO15032501"/>
        <s v="PO16032501"/>
        <s v="PO18032501"/>
        <s v="PO20032501"/>
        <s v="PO21032501"/>
        <s v="PO23032501"/>
        <s v="PO25032501"/>
        <s v="PO27032501"/>
        <s v="PO29032501"/>
        <s v="PO01042501"/>
        <s v="PO01042502"/>
        <s v="PO01042503"/>
        <s v="PO03042501"/>
        <s v="PO03042502"/>
        <s v="PO03042503"/>
        <s v="PO05042501"/>
        <s v="PO05042502"/>
        <s v="PO05042503"/>
        <s v="PO08042501"/>
        <s v="PO08042502"/>
        <s v="PO08042503"/>
        <s v="PO12042501"/>
        <s v="PO12042502"/>
        <s v="PO12042503"/>
        <s v="PO15042501"/>
        <s v="PO15042502"/>
        <s v="PO15042503"/>
        <s v="PO20042501"/>
        <s v="PO20042502"/>
        <s v="PO20042503"/>
        <s v="PO24042501"/>
        <s v="PO24042502"/>
        <s v="PO24042503"/>
        <s v="PO28042501"/>
        <s v="PO28042502"/>
        <s v="PO28042503"/>
        <s v="PO01052501"/>
        <s v="PO01052502"/>
        <s v="PO02052501"/>
        <s v="PO02052502"/>
        <s v="PO03052501"/>
        <s v="PO03052502"/>
        <s v="PO04052501"/>
        <s v="PO05052501"/>
        <s v="PO06052501"/>
        <s v="PO07052501"/>
        <s v="PO08052501"/>
        <s v="PO09052501"/>
        <s v="PO10052501"/>
        <s v="PO11052501"/>
        <s v="PO12052501"/>
        <s v="PO13052501"/>
        <s v="PO14052501"/>
        <s v="PO15052501"/>
        <s v="PO16052501"/>
        <s v="PO17052501"/>
        <s v="PO18052501"/>
        <s v="PO19052501"/>
        <s v="PO20052501"/>
        <s v="PO21052501"/>
        <s v="PO22052501"/>
        <s v="PO23052501"/>
        <s v="PO24052501"/>
        <s v="PO01062501"/>
        <s v="PO01062502"/>
        <s v="PO02062501"/>
        <s v="PO03062501"/>
        <s v="PO03062502"/>
        <s v="PO04062501"/>
        <s v="PO05062501"/>
        <s v="PO06062501"/>
        <s v="PO07062501"/>
        <s v="PO08062501"/>
        <s v="PO09062501"/>
        <s v="PO10062501"/>
        <s v="PO11062501"/>
        <s v="PO12062501"/>
        <s v="PO13062501"/>
        <s v="PO14062501"/>
        <s v="PO15062501"/>
        <s v="PO16062501"/>
        <s v="PO17062501"/>
        <s v="PO18062501"/>
        <s v="PO19062501"/>
        <s v="PO20062501"/>
        <s v="PO21062501"/>
        <s v="PO22062501"/>
        <s v="PO23062501"/>
        <s v="PO24062501"/>
        <s v="PO01072501"/>
        <s v="PO01072502"/>
        <s v="PO01072503"/>
        <s v="PO02072501"/>
        <s v="PO02072502"/>
        <s v="PO02072503"/>
        <s v="PO03072501"/>
        <s v="PO03072502"/>
        <s v="PO04072501"/>
        <s v="PO04072502"/>
        <s v="PO04072503"/>
        <s v="PO05072501"/>
        <s v="PO05072502"/>
        <s v="PO06072501"/>
        <s v="PO06072502"/>
        <s v="PO07072501"/>
        <s v="PO08072501"/>
        <s v="PO09072501"/>
        <s v="PO10072501"/>
        <s v="PO11072501"/>
        <s v="PO12072501"/>
        <s v="PO13072501"/>
        <s v="PO14072501"/>
        <s v="PO15072501"/>
        <s v="PO16072501"/>
        <s v="PO17072501"/>
        <s v="PO01082501"/>
        <s v="PO02082501"/>
        <s v="PO03082501"/>
        <s v="PO04082501"/>
        <s v="PO05082501"/>
        <s v="PO06082501"/>
        <s v="PO07082501"/>
        <s v="PO08082501"/>
        <s v="PO09082501"/>
        <s v="PO10082501"/>
        <s v="PO11082501"/>
        <s v="PO12082501"/>
        <s v="PO13082501"/>
        <s v="PO14082501"/>
        <s v="PO15082501"/>
        <s v="PO16082501"/>
        <s v="PO17082501"/>
        <s v="PO18082501"/>
        <s v="PO19082501"/>
        <s v="PO20082501"/>
        <s v="PO21082501"/>
        <s v="PO22082501"/>
        <s v="PO23082501"/>
        <s v="PO24082501"/>
        <s v="PO25082501"/>
        <s v="PO01092501"/>
        <s v="PO01092502"/>
        <s v="PO02092501"/>
        <s v="PO03092501"/>
        <s v="PO03092502"/>
        <s v="PO04092501"/>
        <s v="PO05092501"/>
        <s v="PO06092501"/>
        <s v="PO07092501"/>
        <s v="PO08092501"/>
        <s v="PO09092501"/>
        <s v="PO10092501"/>
        <s v="PO10092502"/>
        <s v="PO11092501"/>
        <s v="PO12092501"/>
        <s v="PO13092501"/>
        <s v="PO14092501"/>
        <s v="PO15092501"/>
        <s v="PO16092501"/>
        <s v="PO17092501"/>
        <s v="PO18092501"/>
        <s v="PO19092501"/>
        <s v="PO20092501"/>
        <s v="PO21092501"/>
        <s v="PO22092501"/>
        <s v="PO23092501"/>
        <s v="PO24092501"/>
        <s v="PO01102501"/>
        <s v="PO02102501"/>
        <s v="PO03102501"/>
        <s v="PO04102501"/>
        <s v="PO05102501"/>
        <s v="PO06102501"/>
        <s v="PO07102501"/>
        <s v="PO08102501"/>
        <s v="PO09102501"/>
        <s v="PO10102501"/>
        <s v="PO11102501"/>
        <s v="PO12102501"/>
        <s v="PO13102501"/>
        <s v="PO14102501"/>
        <s v="PO15102501"/>
        <s v="PO16102501"/>
        <s v="PO17102501"/>
        <s v="PO18102501"/>
        <s v="PO19102501"/>
        <s v="PO20102501"/>
        <s v="PO21102501"/>
        <s v="PO22102501"/>
        <s v="PO23102501"/>
        <s v="PO24102501"/>
        <s v="PO25102501"/>
        <s v="PO01112501"/>
        <s v="PO01112502"/>
        <s v="PO01112503"/>
        <s v="PO02112501"/>
        <s v="PO02112502"/>
        <s v="PO03112501"/>
        <s v="PO03112502"/>
        <s v="PO04112501"/>
        <s v="PO04112502"/>
        <s v="PO05112501"/>
        <s v="PO06112501"/>
        <s v="PO07112501"/>
        <s v="PO08112501"/>
        <s v="PO09112501"/>
        <s v="PO10112501"/>
        <s v="PO11112501"/>
        <s v="PO12112501"/>
        <s v="PO13112501"/>
        <s v="PO14112501"/>
        <s v="PO15112501"/>
        <s v="PO16112501"/>
        <s v="PO17112501"/>
        <s v="PO18112501"/>
        <s v="PO19112501"/>
        <s v="PO20112501"/>
        <s v="PO21112501"/>
        <s v="PO01122501"/>
        <s v="PO01122502"/>
        <s v="PO01122503"/>
        <s v="PO02122501"/>
        <s v="PO02122502"/>
        <s v="PO03122501"/>
        <s v="PO03122502"/>
        <s v="PO04122501"/>
        <s v="PO04122502"/>
        <s v="PO05122501"/>
        <s v="PO05122502"/>
        <s v="PO06122501"/>
        <s v="PO06122502"/>
        <s v="PO07122501"/>
        <s v="PO08122501"/>
        <s v="PO09122501"/>
        <s v="PO10122501"/>
        <s v="PO11122501"/>
        <s v="PO12122501"/>
        <s v="PO13122501"/>
        <s v="PO14122501"/>
        <s v="PO15122501"/>
        <s v="PO16122501"/>
        <s v="PO17122501"/>
        <s v="PO18122501"/>
        <s v="PO19122501"/>
        <s v="PO20122501"/>
      </sharedItems>
    </cacheField>
    <cacheField name="Nama Klien" numFmtId="0">
      <sharedItems count="7">
        <s v="PT Maju Jaya Plastik"/>
        <s v="PT Surya Polimer Indonesia"/>
        <s v="PT Mitra Plastik Nusantara"/>
        <s v="PT Global Recycle Industry"/>
        <s v="PT Indo Plastik Mandiri"/>
        <s v="PT Cahaya Plastik Abadi"/>
        <s v="PT Bintang Daur Ulang"/>
      </sharedItems>
    </cacheField>
    <cacheField name="Kode Barang" numFmtId="0">
      <sharedItems count="11">
        <s v="BP001"/>
        <s v="BP002"/>
        <s v="BP003"/>
        <s v="BP004"/>
        <s v="BP005"/>
        <s v="BP006"/>
        <s v="BP007"/>
        <s v="BP008"/>
        <s v="BP009"/>
        <s v="BP010"/>
        <s v="BP011"/>
      </sharedItems>
    </cacheField>
    <cacheField name="Nama Barang" numFmtId="0">
      <sharedItems count="11">
        <s v="PET Clear Flakes"/>
        <s v="PET Blue Flakes"/>
        <s v="HDPE Natural Flakes"/>
        <s v="HDPE Mixed Color Flakes"/>
        <s v="PP Injection Flakes"/>
        <s v="PET Green Flakes"/>
        <s v="HDPE Blue Drum Flakes"/>
        <s v="PET Mixed Color Flakes"/>
        <s v="PP White Flakes"/>
        <s v="HDPE Bottle Cap Flakes"/>
        <s v="PET Hot Washed Flakes"/>
      </sharedItems>
    </cacheField>
    <cacheField name="Qty" numFmtId="0">
      <sharedItems containsSemiMixedTypes="0" containsString="0" containsNumber="1" containsInteger="1" minValue="1205" maxValue="4200"/>
    </cacheField>
    <cacheField name="Satuan" numFmtId="0">
      <sharedItems/>
    </cacheField>
    <cacheField name="Harga/kg (Rp)" numFmtId="164">
      <sharedItems containsSemiMixedTypes="0" containsString="0" containsNumber="1" containsInteger="1" minValue="8500" maxValue="14500"/>
    </cacheField>
    <cacheField name="Total (Rp)" numFmtId="164">
      <sharedItems containsSemiMixedTypes="0" containsString="0" containsNumber="1" containsInteger="1" minValue="12825000" maxValue="60900000"/>
    </cacheField>
    <cacheField name="Months (Tanggal Invoice)" numFmtId="0" databaseField="0">
      <fieldGroup base="1">
        <rangePr groupBy="months" startDate="2020-07-15T00:00:00" endDate="2025-12-24T00:00:00"/>
        <groupItems count="14">
          <s v="&lt;15/07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4/12/2025"/>
        </groupItems>
      </fieldGroup>
    </cacheField>
    <cacheField name="Quarters (Tanggal Invoice)" numFmtId="0" databaseField="0">
      <fieldGroup base="1">
        <rangePr groupBy="quarters" startDate="2020-07-15T00:00:00" endDate="2025-12-24T00:00:00"/>
        <groupItems count="6">
          <s v="&lt;15/07/2020"/>
          <s v="Qtr1"/>
          <s v="Qtr2"/>
          <s v="Qtr3"/>
          <s v="Qtr4"/>
          <s v="&gt;24/12/2025"/>
        </groupItems>
      </fieldGroup>
    </cacheField>
    <cacheField name="Years (Tanggal Invoice)" numFmtId="0" databaseField="0">
      <fieldGroup base="1">
        <rangePr groupBy="years" startDate="2020-07-15T00:00:00" endDate="2025-12-24T00:00:00"/>
        <groupItems count="8">
          <s v="&lt;15/07/2020"/>
          <s v="2020"/>
          <s v="2021"/>
          <s v="2022"/>
          <s v="2023"/>
          <s v="2024"/>
          <s v="2025"/>
          <s v="&gt;24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yad" refreshedDate="46090.370084953705" createdVersion="8" refreshedVersion="8" minRefreshableVersion="3" recordCount="311" xr:uid="{19B3C833-A4F1-41DE-AD24-DDBA4D7CFA78}">
  <cacheSource type="worksheet">
    <worksheetSource ref="V2:Y313" sheet="Pivot Table"/>
  </cacheSource>
  <cacheFields count="4">
    <cacheField name="No Invoice" numFmtId="0">
      <sharedItems/>
    </cacheField>
    <cacheField name="Nama Barang" numFmtId="0">
      <sharedItems count="11">
        <s v="PET Clear Flakes"/>
        <s v="PET Blue Flakes"/>
        <s v="HDPE Natural Flakes"/>
        <s v="HDPE Mixed Color Flakes"/>
        <s v="PP Injection Flakes"/>
        <s v="PET Green Flakes"/>
        <s v="HDPE Blue Drum Flakes"/>
        <s v="PET Mixed Color Flakes"/>
        <s v="PP White Flakes"/>
        <s v="HDPE Bottle Cap Flakes"/>
        <s v="PET Hot Washed Flakes"/>
      </sharedItems>
    </cacheField>
    <cacheField name="Total (Rp)" numFmtId="166">
      <sharedItems containsSemiMixedTypes="0" containsString="0" containsNumber="1" containsInteger="1" minValue="12825000" maxValue="60900000"/>
    </cacheField>
    <cacheField name="Total (Juta)" numFmtId="1">
      <sharedItems containsSemiMixedTypes="0" containsString="0" containsNumber="1" minValue="12.824999999999999" maxValue="60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yad" refreshedDate="46090.382469560187" createdVersion="8" refreshedVersion="8" minRefreshableVersion="3" recordCount="7" xr:uid="{F1D9DF11-B73B-426F-B901-AE94F4DF4BB8}">
  <cacheSource type="worksheet">
    <worksheetSource ref="N2:Q9" sheet="Invoice"/>
  </cacheSource>
  <cacheFields count="4">
    <cacheField name="Kode" numFmtId="0">
      <sharedItems/>
    </cacheField>
    <cacheField name="Customer" numFmtId="0">
      <sharedItems count="7">
        <s v="PT Bintang Daur Ulang"/>
        <s v="PT Cahaya Plastik Abadi"/>
        <s v="PT Global Recycle Industry"/>
        <s v="PT Indo Plastik Mandiri"/>
        <s v="PT Maju Jaya Plastik"/>
        <s v="PT Mitra Plastik Nusantara"/>
        <s v="PT Surya Polimer Indonesia"/>
      </sharedItems>
    </cacheField>
    <cacheField name="Qty (Kg)" numFmtId="3">
      <sharedItems containsSemiMixedTypes="0" containsString="0" containsNumber="1" containsInteger="1" minValue="74040" maxValue="131945"/>
    </cacheField>
    <cacheField name="%" numFmtId="9">
      <sharedItems containsSemiMixedTypes="0" containsString="0" containsNumber="1" minValue="9.2160621374691928E-2" maxValue="0.1642373472080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yad" refreshedDate="46090.401219675929" createdVersion="8" refreshedVersion="8" minRefreshableVersion="3" recordCount="311" xr:uid="{92A5CEBE-BB0F-4EB8-805B-2BFACF479C49}">
  <cacheSource type="worksheet">
    <worksheetSource ref="B2:L313" sheet="Invoice"/>
  </cacheSource>
  <cacheFields count="14">
    <cacheField name="No Invoice" numFmtId="0">
      <sharedItems/>
    </cacheField>
    <cacheField name="Tanggal Invoice" numFmtId="14">
      <sharedItems containsSemiMixedTypes="0" containsNonDate="0" containsDate="1" containsString="0" minDate="2020-07-15T00:00:00" maxDate="2025-12-24T00:00:00" count="267"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2T00:00:00"/>
        <d v="2025-01-24T00:00:00"/>
        <d v="2025-01-26T00:00:00"/>
        <d v="2025-01-29T00:00:00"/>
        <d v="2025-02-01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8T00:00:00"/>
        <d v="2025-03-19T00:00:00"/>
        <d v="2025-03-21T00:00:00"/>
        <d v="2025-03-23T00:00:00"/>
        <d v="2025-03-24T00:00:00"/>
        <d v="2025-03-26T00:00:00"/>
        <d v="2025-03-28T00:00:00"/>
        <d v="2025-03-30T00:00:00"/>
        <d v="2025-03-31T00:00:00"/>
        <d v="2025-04-03T00:00:00"/>
        <d v="2025-04-04T00:00:00"/>
        <d v="2025-04-06T00:00:00"/>
        <d v="2025-04-07T00:00:00"/>
        <d v="2025-04-08T00:00:00"/>
        <d v="2025-04-09T00:00:00"/>
        <d v="2025-04-10T00:00:00"/>
        <d v="2025-04-11T00:00:00"/>
        <d v="2025-04-15T00:00:00"/>
        <d v="2025-04-16T00:00:00"/>
        <d v="2025-04-18T00:00:00"/>
        <d v="2025-04-19T00:00:00"/>
        <d v="2025-04-23T00:00:00"/>
        <d v="2025-04-24T00:00:00"/>
        <d v="2025-04-27T00:00:00"/>
        <d v="2025-04-28T00:00:00"/>
        <d v="2025-04-30T00:00:00"/>
        <d v="2025-05-01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0-07-15T00:00:00"/>
        <d v="2020-07-16T00:00:00"/>
        <d v="2020-07-17T00:00:00"/>
        <d v="2025-07-18T00:00:00"/>
        <d v="2025-07-19T00:00:00"/>
        <d v="2025-07-20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10-03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</sharedItems>
      <fieldGroup par="13"/>
    </cacheField>
    <cacheField name="No DO" numFmtId="0">
      <sharedItems/>
    </cacheField>
    <cacheField name="No PO" numFmtId="0">
      <sharedItems/>
    </cacheField>
    <cacheField name="Nama Klien" numFmtId="0">
      <sharedItems/>
    </cacheField>
    <cacheField name="Kode Produk" numFmtId="0">
      <sharedItems/>
    </cacheField>
    <cacheField name="Nama Produk" numFmtId="0">
      <sharedItems count="11">
        <s v="PET Clear Flakes"/>
        <s v="PET Blue Flakes"/>
        <s v="HDPE Natural Flakes"/>
        <s v="HDPE Mixed Color Flakes"/>
        <s v="PP Injection Flakes"/>
        <s v="PET Green Flakes"/>
        <s v="HDPE Blue Drum Flakes"/>
        <s v="PET Mixed Color Flakes"/>
        <s v="PP White Flakes"/>
        <s v="HDPE Bottle Cap Flakes"/>
        <s v="PET Hot Washed Flakes"/>
      </sharedItems>
    </cacheField>
    <cacheField name="Qty" numFmtId="0">
      <sharedItems containsSemiMixedTypes="0" containsString="0" containsNumber="1" containsInteger="1" minValue="1205" maxValue="4200"/>
    </cacheField>
    <cacheField name="Satuan" numFmtId="0">
      <sharedItems/>
    </cacheField>
    <cacheField name="Harga/kg (Rp)" numFmtId="164">
      <sharedItems containsSemiMixedTypes="0" containsString="0" containsNumber="1" containsInteger="1" minValue="8500" maxValue="14500"/>
    </cacheField>
    <cacheField name="Total (Rp)" numFmtId="164">
      <sharedItems containsSemiMixedTypes="0" containsString="0" containsNumber="1" containsInteger="1" minValue="12825000" maxValue="60900000"/>
    </cacheField>
    <cacheField name="Months (Tanggal Invoice)" numFmtId="0" databaseField="0">
      <fieldGroup base="1">
        <rangePr groupBy="months" startDate="2020-07-15T00:00:00" endDate="2025-12-24T00:00:00"/>
        <groupItems count="14">
          <s v="&lt;15/07/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4/12/2025"/>
        </groupItems>
      </fieldGroup>
    </cacheField>
    <cacheField name="Quarters (Tanggal Invoice)" numFmtId="0" databaseField="0">
      <fieldGroup base="1">
        <rangePr groupBy="quarters" startDate="2020-07-15T00:00:00" endDate="2025-12-24T00:00:00"/>
        <groupItems count="6">
          <s v="&lt;15/07/2020"/>
          <s v="Qtr1"/>
          <s v="Qtr2"/>
          <s v="Qtr3"/>
          <s v="Qtr4"/>
          <s v="&gt;24/12/2025"/>
        </groupItems>
      </fieldGroup>
    </cacheField>
    <cacheField name="Years (Tanggal Invoice)" numFmtId="0" databaseField="0">
      <fieldGroup base="1">
        <rangePr groupBy="years" startDate="2020-07-15T00:00:00" endDate="2025-12-24T00:00:00"/>
        <groupItems count="8">
          <s v="&lt;15/07/2020"/>
          <s v="2020"/>
          <s v="2021"/>
          <s v="2022"/>
          <s v="2023"/>
          <s v="2024"/>
          <s v="2025"/>
          <s v="&gt;24/1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">
  <r>
    <d v="2024-12-27T00:00:00"/>
    <s v="PO01012501"/>
    <s v="PT Maju Jaya Plastik"/>
    <x v="0"/>
    <x v="0"/>
    <n v="1205"/>
    <s v="kg"/>
    <d v="2025-01-03T00:00:00"/>
  </r>
  <r>
    <d v="2024-12-27T00:00:00"/>
    <s v="PO01012502"/>
    <s v="PT Surya Polimer Indonesia"/>
    <x v="1"/>
    <x v="1"/>
    <n v="3015"/>
    <s v="kg"/>
    <d v="2025-01-04T00:00:00"/>
  </r>
  <r>
    <d v="2024-12-28T00:00:00"/>
    <s v="PO02012501"/>
    <s v="PT Mitra Plastik Nusantara"/>
    <x v="2"/>
    <x v="2"/>
    <n v="2150"/>
    <s v="kg"/>
    <d v="2025-01-05T00:00:00"/>
  </r>
  <r>
    <d v="2024-12-28T00:00:00"/>
    <s v="PO02012502"/>
    <s v="PT Global Recycle Industry"/>
    <x v="3"/>
    <x v="3"/>
    <n v="1890"/>
    <s v="kg"/>
    <d v="2025-01-05T00:00:00"/>
  </r>
  <r>
    <d v="2024-12-29T00:00:00"/>
    <s v="PO03012501"/>
    <s v="PT Indo Plastik Mandiri"/>
    <x v="4"/>
    <x v="4"/>
    <n v="2750"/>
    <s v="kg"/>
    <d v="2025-01-06T00:00:00"/>
  </r>
  <r>
    <d v="2024-12-29T00:00:00"/>
    <s v="PO03012502"/>
    <s v="PT Cahaya Plastik Abadi"/>
    <x v="5"/>
    <x v="5"/>
    <n v="3320"/>
    <s v="kg"/>
    <d v="2025-01-07T00:00:00"/>
  </r>
  <r>
    <d v="2024-12-30T00:00:00"/>
    <s v="PO04012501"/>
    <s v="PT Bintang Daur Ulang"/>
    <x v="6"/>
    <x v="6"/>
    <n v="1450"/>
    <s v="kg"/>
    <d v="2025-01-07T00:00:00"/>
  </r>
  <r>
    <d v="2024-12-30T00:00:00"/>
    <s v="PO04012502"/>
    <s v="PT Maju Jaya Plastik"/>
    <x v="7"/>
    <x v="7"/>
    <n v="2100"/>
    <s v="kg"/>
    <d v="2025-01-08T00:00:00"/>
  </r>
  <r>
    <d v="2024-12-31T00:00:00"/>
    <s v="PO05012501"/>
    <s v="PT Surya Polimer Indonesia"/>
    <x v="8"/>
    <x v="8"/>
    <n v="3980"/>
    <s v="kg"/>
    <d v="2025-01-09T00:00:00"/>
  </r>
  <r>
    <d v="2025-01-01T00:00:00"/>
    <s v="PO06012501"/>
    <s v="PT Mitra Plastik Nusantara"/>
    <x v="9"/>
    <x v="9"/>
    <n v="2560"/>
    <s v="kg"/>
    <d v="2025-01-10T00:00:00"/>
  </r>
  <r>
    <d v="2025-01-02T00:00:00"/>
    <s v="PO07012501"/>
    <s v="PT Global Recycle Industry"/>
    <x v="10"/>
    <x v="10"/>
    <n v="3175"/>
    <s v="kg"/>
    <d v="2025-01-11T00:00:00"/>
  </r>
  <r>
    <d v="2025-01-03T00:00:00"/>
    <s v="PO08012501"/>
    <s v="PT Indo Plastik Mandiri"/>
    <x v="0"/>
    <x v="0"/>
    <n v="1875"/>
    <s v="kg"/>
    <d v="2025-01-12T00:00:00"/>
  </r>
  <r>
    <d v="2025-01-04T00:00:00"/>
    <s v="PO09012501"/>
    <s v="PT Cahaya Plastik Abadi"/>
    <x v="1"/>
    <x v="1"/>
    <n v="2250"/>
    <s v="kg"/>
    <d v="2025-01-13T00:00:00"/>
  </r>
  <r>
    <d v="2025-01-05T00:00:00"/>
    <s v="PO10012501"/>
    <s v="PT Bintang Daur Ulang"/>
    <x v="2"/>
    <x v="2"/>
    <n v="1650"/>
    <s v="kg"/>
    <d v="2025-01-14T00:00:00"/>
  </r>
  <r>
    <d v="2025-01-06T00:00:00"/>
    <s v="PO11012501"/>
    <s v="PT Maju Jaya Plastik"/>
    <x v="3"/>
    <x v="3"/>
    <n v="2890"/>
    <s v="kg"/>
    <d v="2025-01-15T00:00:00"/>
  </r>
  <r>
    <d v="2025-01-07T00:00:00"/>
    <s v="PO12012501"/>
    <s v="PT Surya Polimer Indonesia"/>
    <x v="4"/>
    <x v="4"/>
    <n v="3200"/>
    <s v="kg"/>
    <d v="2025-01-16T00:00:00"/>
  </r>
  <r>
    <d v="2025-01-08T00:00:00"/>
    <s v="PO13012501"/>
    <s v="PT Mitra Plastik Nusantara"/>
    <x v="5"/>
    <x v="5"/>
    <n v="1425"/>
    <s v="kg"/>
    <d v="2025-01-17T00:00:00"/>
  </r>
  <r>
    <d v="2025-01-09T00:00:00"/>
    <s v="PO14012501"/>
    <s v="PT Global Recycle Industry"/>
    <x v="6"/>
    <x v="6"/>
    <n v="2780"/>
    <s v="kg"/>
    <d v="2025-01-18T00:00:00"/>
  </r>
  <r>
    <d v="2025-01-10T00:00:00"/>
    <s v="PO15012501"/>
    <s v="PT Indo Plastik Mandiri"/>
    <x v="7"/>
    <x v="7"/>
    <n v="3340"/>
    <s v="kg"/>
    <d v="2025-01-19T00:00:00"/>
  </r>
  <r>
    <d v="2025-01-11T00:00:00"/>
    <s v="PO16012501"/>
    <s v="PT Cahaya Plastik Abadi"/>
    <x v="8"/>
    <x v="8"/>
    <n v="2450"/>
    <s v="kg"/>
    <d v="2025-01-20T00:00:00"/>
  </r>
  <r>
    <d v="2025-01-13T00:00:00"/>
    <s v="PO18012501"/>
    <s v="PT Bintang Daur Ulang"/>
    <x v="9"/>
    <x v="9"/>
    <n v="1870"/>
    <s v="kg"/>
    <d v="2025-01-22T00:00:00"/>
  </r>
  <r>
    <d v="2025-01-15T00:00:00"/>
    <s v="PO20012501"/>
    <s v="PT Maju Jaya Plastik"/>
    <x v="10"/>
    <x v="10"/>
    <n v="2990"/>
    <s v="kg"/>
    <d v="2025-01-24T00:00:00"/>
  </r>
  <r>
    <d v="2025-01-18T00:00:00"/>
    <s v="PO23012501"/>
    <s v="PT Surya Polimer Indonesia"/>
    <x v="1"/>
    <x v="1"/>
    <n v="2150"/>
    <s v="kg"/>
    <d v="2025-01-26T00:00:00"/>
  </r>
  <r>
    <d v="2025-01-21T00:00:00"/>
    <s v="PO26012501"/>
    <s v="PT Mitra Plastik Nusantara"/>
    <x v="2"/>
    <x v="2"/>
    <n v="1980"/>
    <s v="kg"/>
    <d v="2025-01-29T00:00:00"/>
  </r>
  <r>
    <d v="2025-01-24T00:00:00"/>
    <s v="PO29012501"/>
    <s v="PT Global Recycle Industry"/>
    <x v="3"/>
    <x v="3"/>
    <n v="3100"/>
    <s v="kg"/>
    <d v="2025-02-01T00:00:00"/>
  </r>
  <r>
    <d v="2025-01-27T00:00:00"/>
    <s v="PO01022501"/>
    <s v="PT Maju Jaya Plastik"/>
    <x v="0"/>
    <x v="0"/>
    <n v="2400"/>
    <s v="kg"/>
    <d v="2025-02-03T00:00:00"/>
  </r>
  <r>
    <d v="2025-01-27T00:00:00"/>
    <s v="PO01022502"/>
    <s v="PT Surya Polimer Indonesia"/>
    <x v="2"/>
    <x v="2"/>
    <n v="1850"/>
    <s v="kg"/>
    <d v="2025-02-04T00:00:00"/>
  </r>
  <r>
    <d v="2025-01-27T00:00:00"/>
    <s v="PO01022503"/>
    <s v="PT Global Recycle Industry"/>
    <x v="1"/>
    <x v="1"/>
    <n v="3150"/>
    <s v="kg"/>
    <d v="2025-02-05T00:00:00"/>
  </r>
  <r>
    <d v="2025-01-28T00:00:00"/>
    <s v="PO02022501"/>
    <s v="PT Indo Plastik Mandiri"/>
    <x v="4"/>
    <x v="4"/>
    <n v="2950"/>
    <s v="kg"/>
    <d v="2025-02-05T00:00:00"/>
  </r>
  <r>
    <d v="2025-01-28T00:00:00"/>
    <s v="PO02022502"/>
    <s v="PT Cahaya Plastik Abadi"/>
    <x v="5"/>
    <x v="5"/>
    <n v="1700"/>
    <s v="kg"/>
    <d v="2025-02-06T00:00:00"/>
  </r>
  <r>
    <d v="2025-01-29T00:00:00"/>
    <s v="PO03022501"/>
    <s v="PT Mitra Plastik Nusantara"/>
    <x v="3"/>
    <x v="3"/>
    <n v="2650"/>
    <s v="kg"/>
    <d v="2025-02-06T00:00:00"/>
  </r>
  <r>
    <d v="2025-01-29T00:00:00"/>
    <s v="PO03022502"/>
    <s v="PT Bintang Daur Ulang"/>
    <x v="6"/>
    <x v="6"/>
    <n v="1425"/>
    <s v="kg"/>
    <d v="2025-02-07T00:00:00"/>
  </r>
  <r>
    <d v="2025-01-30T00:00:00"/>
    <s v="PO04022501"/>
    <s v="PT Surya Polimer Indonesia"/>
    <x v="7"/>
    <x v="7"/>
    <n v="3350"/>
    <s v="kg"/>
    <d v="2025-02-07T00:00:00"/>
  </r>
  <r>
    <d v="2025-01-30T00:00:00"/>
    <s v="PO04022502"/>
    <s v="PT Maju Jaya Plastik"/>
    <x v="0"/>
    <x v="0"/>
    <n v="2100"/>
    <s v="kg"/>
    <d v="2025-02-08T00:00:00"/>
  </r>
  <r>
    <d v="2025-01-31T00:00:00"/>
    <s v="PO05022501"/>
    <s v="PT Global Recycle Industry"/>
    <x v="10"/>
    <x v="10"/>
    <n v="3900"/>
    <s v="kg"/>
    <d v="2025-02-08T00:00:00"/>
  </r>
  <r>
    <d v="2025-01-31T00:00:00"/>
    <s v="PO05022502"/>
    <s v="PT Indo Plastik Mandiri"/>
    <x v="8"/>
    <x v="8"/>
    <n v="2500"/>
    <s v="kg"/>
    <d v="2025-02-09T00:00:00"/>
  </r>
  <r>
    <d v="2025-02-01T00:00:00"/>
    <s v="PO06022501"/>
    <s v="PT Cahaya Plastik Abadi"/>
    <x v="2"/>
    <x v="2"/>
    <n v="1780"/>
    <s v="kg"/>
    <d v="2025-02-09T00:00:00"/>
  </r>
  <r>
    <d v="2025-02-01T00:00:00"/>
    <s v="PO06022502"/>
    <s v="PT Mitra Plastik Nusantara"/>
    <x v="1"/>
    <x v="1"/>
    <n v="3200"/>
    <s v="kg"/>
    <d v="2025-02-10T00:00:00"/>
  </r>
  <r>
    <d v="2025-02-02T00:00:00"/>
    <s v="PO07022501"/>
    <s v="PT Surya Polimer Indonesia"/>
    <x v="0"/>
    <x v="0"/>
    <n v="2980"/>
    <s v="kg"/>
    <d v="2025-02-10T00:00:00"/>
  </r>
  <r>
    <d v="2025-02-02T00:00:00"/>
    <s v="PO07022502"/>
    <s v="PT Bintang Daur Ulang"/>
    <x v="3"/>
    <x v="3"/>
    <n v="2300"/>
    <s v="kg"/>
    <d v="2025-02-11T00:00:00"/>
  </r>
  <r>
    <d v="2025-02-03T00:00:00"/>
    <s v="PO08022501"/>
    <s v="PT Global Recycle Industry"/>
    <x v="5"/>
    <x v="5"/>
    <n v="3100"/>
    <s v="kg"/>
    <d v="2025-02-11T00:00:00"/>
  </r>
  <r>
    <d v="2025-02-03T00:00:00"/>
    <s v="PO08022502"/>
    <s v="PT Maju Jaya Plastik"/>
    <x v="9"/>
    <x v="9"/>
    <n v="1600"/>
    <s v="kg"/>
    <d v="2025-02-12T00:00:00"/>
  </r>
  <r>
    <d v="2025-02-04T00:00:00"/>
    <s v="PO09022501"/>
    <s v="PT Indo Plastik Mandiri"/>
    <x v="4"/>
    <x v="4"/>
    <n v="2750"/>
    <s v="kg"/>
    <d v="2025-02-12T00:00:00"/>
  </r>
  <r>
    <d v="2025-02-05T00:00:00"/>
    <s v="PO10022501"/>
    <s v="PT Surya Polimer Indonesia"/>
    <x v="10"/>
    <x v="10"/>
    <n v="3550"/>
    <s v="kg"/>
    <d v="2025-02-13T00:00:00"/>
  </r>
  <r>
    <d v="2025-02-05T00:00:00"/>
    <s v="PO10022502"/>
    <s v="PT Cahaya Plastik Abadi"/>
    <x v="1"/>
    <x v="1"/>
    <n v="2900"/>
    <s v="kg"/>
    <d v="2025-02-13T00:00:00"/>
  </r>
  <r>
    <d v="2025-02-06T00:00:00"/>
    <s v="PO11022501"/>
    <s v="PT Mitra Plastik Nusantara"/>
    <x v="8"/>
    <x v="8"/>
    <n v="2600"/>
    <s v="kg"/>
    <d v="2025-02-14T00:00:00"/>
  </r>
  <r>
    <d v="2025-02-07T00:00:00"/>
    <s v="PO12022501"/>
    <s v="PT Global Recycle Industry"/>
    <x v="3"/>
    <x v="3"/>
    <n v="3450"/>
    <s v="kg"/>
    <d v="2025-02-15T00:00:00"/>
  </r>
  <r>
    <d v="2025-02-08T00:00:00"/>
    <s v="PO13022501"/>
    <s v="PT Bintang Daur Ulang"/>
    <x v="6"/>
    <x v="6"/>
    <n v="1750"/>
    <s v="kg"/>
    <d v="2025-02-16T00:00:00"/>
  </r>
  <r>
    <d v="2025-02-09T00:00:00"/>
    <s v="PO14022501"/>
    <s v="PT Indo Plastik Mandiri"/>
    <x v="7"/>
    <x v="7"/>
    <n v="3050"/>
    <s v="kg"/>
    <d v="2025-02-17T00:00:00"/>
  </r>
  <r>
    <d v="2025-02-10T00:00:00"/>
    <s v="PO15022501"/>
    <s v="PT Maju Jaya Plastik"/>
    <x v="0"/>
    <x v="0"/>
    <n v="2850"/>
    <s v="kg"/>
    <d v="2025-02-18T00:00:00"/>
  </r>
  <r>
    <d v="2025-02-24T00:00:00"/>
    <s v="PO01032501"/>
    <s v="PT Maju Jaya Plastik"/>
    <x v="0"/>
    <x v="0"/>
    <n v="2100"/>
    <s v="kg"/>
    <d v="2025-03-03T00:00:00"/>
  </r>
  <r>
    <d v="2025-02-24T00:00:00"/>
    <s v="PO01032502"/>
    <s v="PT Surya Polimer Indonesia"/>
    <x v="1"/>
    <x v="1"/>
    <n v="3200"/>
    <s v="kg"/>
    <d v="2025-03-04T00:00:00"/>
  </r>
  <r>
    <d v="2025-02-25T00:00:00"/>
    <s v="PO02032501"/>
    <s v="PT Mitra Plastik Nusantara"/>
    <x v="2"/>
    <x v="2"/>
    <n v="1850"/>
    <s v="kg"/>
    <d v="2025-03-05T00:00:00"/>
  </r>
  <r>
    <d v="2025-02-26T00:00:00"/>
    <s v="PO03032501"/>
    <s v="PT Global Recycle Industry"/>
    <x v="3"/>
    <x v="3"/>
    <n v="2400"/>
    <s v="kg"/>
    <d v="2025-03-06T00:00:00"/>
  </r>
  <r>
    <d v="2025-02-26T00:00:00"/>
    <s v="PO03032502"/>
    <s v="PT Indo Plastik Mandiri"/>
    <x v="4"/>
    <x v="4"/>
    <n v="2950"/>
    <s v="kg"/>
    <d v="2025-03-06T00:00:00"/>
  </r>
  <r>
    <d v="2025-02-27T00:00:00"/>
    <s v="PO04032501"/>
    <s v="PT Cahaya Plastik Abadi"/>
    <x v="5"/>
    <x v="5"/>
    <n v="3100"/>
    <s v="kg"/>
    <d v="2025-03-07T00:00:00"/>
  </r>
  <r>
    <d v="2025-02-28T00:00:00"/>
    <s v="PO05032501"/>
    <s v="PT Bintang Daur Ulang"/>
    <x v="6"/>
    <x v="6"/>
    <n v="1500"/>
    <s v="kg"/>
    <d v="2025-03-08T00:00:00"/>
  </r>
  <r>
    <d v="2025-02-28T00:00:00"/>
    <s v="PO05032502"/>
    <s v="PT Maju Jaya Plastik"/>
    <x v="7"/>
    <x v="7"/>
    <n v="2700"/>
    <s v="kg"/>
    <d v="2025-03-08T00:00:00"/>
  </r>
  <r>
    <d v="2025-03-01T00:00:00"/>
    <s v="PO06032501"/>
    <s v="PT Surya Polimer Indonesia"/>
    <x v="8"/>
    <x v="8"/>
    <n v="1980"/>
    <s v="kg"/>
    <d v="2025-03-09T00:00:00"/>
  </r>
  <r>
    <d v="2025-03-02T00:00:00"/>
    <s v="PO07032501"/>
    <s v="PT Mitra Plastik Nusantara"/>
    <x v="10"/>
    <x v="10"/>
    <n v="3300"/>
    <s v="kg"/>
    <d v="2025-03-10T00:00:00"/>
  </r>
  <r>
    <d v="2025-03-03T00:00:00"/>
    <s v="PO08032501"/>
    <s v="PT Global Recycle Industry"/>
    <x v="0"/>
    <x v="0"/>
    <n v="2105"/>
    <s v="kg"/>
    <d v="2025-03-11T00:00:00"/>
  </r>
  <r>
    <d v="2025-03-04T00:00:00"/>
    <s v="PO09032501"/>
    <s v="PT Indo Plastik Mandiri"/>
    <x v="1"/>
    <x v="1"/>
    <n v="2870"/>
    <s v="kg"/>
    <d v="2025-03-12T00:00:00"/>
  </r>
  <r>
    <d v="2025-03-05T00:00:00"/>
    <s v="PO10032501"/>
    <s v="PT Cahaya Plastik Abadi"/>
    <x v="2"/>
    <x v="2"/>
    <n v="2200"/>
    <s v="kg"/>
    <d v="2025-03-13T00:00:00"/>
  </r>
  <r>
    <d v="2025-03-06T00:00:00"/>
    <s v="PO11032501"/>
    <s v="PT Bintang Daur Ulang"/>
    <x v="3"/>
    <x v="3"/>
    <n v="2500"/>
    <s v="kg"/>
    <d v="2025-03-14T00:00:00"/>
  </r>
  <r>
    <d v="2025-03-07T00:00:00"/>
    <s v="PO12032501"/>
    <s v="PT Maju Jaya Plastik"/>
    <x v="4"/>
    <x v="4"/>
    <n v="3100"/>
    <s v="kg"/>
    <d v="2025-03-15T00:00:00"/>
  </r>
  <r>
    <d v="2025-03-08T00:00:00"/>
    <s v="PO13032501"/>
    <s v="PT Surya Polimer Indonesia"/>
    <x v="5"/>
    <x v="5"/>
    <n v="2900"/>
    <s v="kg"/>
    <d v="2025-03-16T00:00:00"/>
  </r>
  <r>
    <d v="2025-03-10T00:00:00"/>
    <s v="PO15032501"/>
    <s v="PT Mitra Plastik Nusantara"/>
    <x v="6"/>
    <x v="6"/>
    <n v="1700"/>
    <s v="kg"/>
    <d v="2025-03-18T00:00:00"/>
  </r>
  <r>
    <d v="2025-03-11T00:00:00"/>
    <s v="PO16032501"/>
    <s v="PT Global Recycle Industry"/>
    <x v="7"/>
    <x v="7"/>
    <n v="2600"/>
    <s v="kg"/>
    <d v="2025-03-19T00:00:00"/>
  </r>
  <r>
    <d v="2025-03-13T00:00:00"/>
    <s v="PO18032501"/>
    <s v="PT Indo Plastik Mandiri"/>
    <x v="8"/>
    <x v="8"/>
    <n v="2400"/>
    <s v="kg"/>
    <d v="2025-03-21T00:00:00"/>
  </r>
  <r>
    <d v="2025-03-15T00:00:00"/>
    <s v="PO20032501"/>
    <s v="PT Cahaya Plastik Abadi"/>
    <x v="0"/>
    <x v="0"/>
    <n v="3100"/>
    <s v="kg"/>
    <d v="2025-03-23T00:00:00"/>
  </r>
  <r>
    <d v="2025-03-16T00:00:00"/>
    <s v="PO21032501"/>
    <s v="PT Bintang Daur Ulang"/>
    <x v="2"/>
    <x v="2"/>
    <n v="2250"/>
    <s v="kg"/>
    <d v="2025-03-24T00:00:00"/>
  </r>
  <r>
    <d v="2025-03-18T00:00:00"/>
    <s v="PO23032501"/>
    <s v="PT Maju Jaya Plastik"/>
    <x v="10"/>
    <x v="10"/>
    <n v="3450"/>
    <s v="kg"/>
    <d v="2025-03-26T00:00:00"/>
  </r>
  <r>
    <d v="2025-03-20T00:00:00"/>
    <s v="PO25032501"/>
    <s v="PT Surya Polimer Indonesia"/>
    <x v="3"/>
    <x v="3"/>
    <n v="2800"/>
    <s v="kg"/>
    <d v="2025-03-28T00:00:00"/>
  </r>
  <r>
    <d v="2025-03-22T00:00:00"/>
    <s v="PO27032501"/>
    <s v="PT Mitra Plastik Nusantara"/>
    <x v="1"/>
    <x v="1"/>
    <n v="2600"/>
    <s v="kg"/>
    <d v="2025-03-30T00:00:00"/>
  </r>
  <r>
    <d v="2025-03-24T00:00:00"/>
    <s v="PO29032501"/>
    <s v="PT Global Recycle Industry"/>
    <x v="4"/>
    <x v="4"/>
    <n v="2950"/>
    <s v="kg"/>
    <d v="2025-03-31T00:00:00"/>
  </r>
  <r>
    <d v="2025-03-27T00:00:00"/>
    <s v="PO01042501"/>
    <s v="PT Maju Jaya Plastik"/>
    <x v="0"/>
    <x v="0"/>
    <n v="1850"/>
    <s v="kg"/>
    <d v="2025-04-03T00:00:00"/>
  </r>
  <r>
    <d v="2025-03-27T00:00:00"/>
    <s v="PO01042502"/>
    <s v="PT Surya Polimer Indonesia"/>
    <x v="1"/>
    <x v="1"/>
    <n v="2450"/>
    <s v="kg"/>
    <d v="2025-04-04T00:00:00"/>
  </r>
  <r>
    <d v="2025-03-27T00:00:00"/>
    <s v="PO01042503"/>
    <s v="PT Global Recycle Industry"/>
    <x v="2"/>
    <x v="2"/>
    <n v="2100"/>
    <s v="kg"/>
    <d v="2025-04-04T00:00:00"/>
  </r>
  <r>
    <d v="2025-03-29T00:00:00"/>
    <s v="PO03042501"/>
    <s v="PT Mitra Plastik Nusantara"/>
    <x v="3"/>
    <x v="3"/>
    <n v="1980"/>
    <s v="kg"/>
    <d v="2025-04-06T00:00:00"/>
  </r>
  <r>
    <d v="2025-03-29T00:00:00"/>
    <s v="PO03042502"/>
    <s v="PT Indo Plastik Mandiri"/>
    <x v="4"/>
    <x v="4"/>
    <n v="2750"/>
    <s v="kg"/>
    <d v="2025-04-06T00:00:00"/>
  </r>
  <r>
    <d v="2025-03-29T00:00:00"/>
    <s v="PO03042503"/>
    <s v="PT Cahaya Plastik Abadi"/>
    <x v="5"/>
    <x v="5"/>
    <n v="2330"/>
    <s v="kg"/>
    <d v="2025-04-07T00:00:00"/>
  </r>
  <r>
    <d v="2025-03-31T00:00:00"/>
    <s v="PO05042501"/>
    <s v="PT Bintang Daur Ulang"/>
    <x v="6"/>
    <x v="6"/>
    <n v="1650"/>
    <s v="kg"/>
    <d v="2025-04-08T00:00:00"/>
  </r>
  <r>
    <d v="2025-03-31T00:00:00"/>
    <s v="PO05042502"/>
    <s v="PT Maju Jaya Plastik"/>
    <x v="7"/>
    <x v="7"/>
    <n v="2890"/>
    <s v="kg"/>
    <d v="2025-04-08T00:00:00"/>
  </r>
  <r>
    <d v="2025-03-31T00:00:00"/>
    <s v="PO05042503"/>
    <s v="PT Surya Polimer Indonesia"/>
    <x v="8"/>
    <x v="8"/>
    <n v="3150"/>
    <s v="kg"/>
    <d v="2025-04-09T00:00:00"/>
  </r>
  <r>
    <d v="2025-04-03T00:00:00"/>
    <s v="PO08042501"/>
    <s v="PT Global Recycle Industry"/>
    <x v="0"/>
    <x v="0"/>
    <n v="1990"/>
    <s v="kg"/>
    <d v="2025-04-10T00:00:00"/>
  </r>
  <r>
    <d v="2025-04-03T00:00:00"/>
    <s v="PO08042502"/>
    <s v="PT Indo Plastik Mandiri"/>
    <x v="1"/>
    <x v="1"/>
    <n v="2210"/>
    <s v="kg"/>
    <d v="2025-04-11T00:00:00"/>
  </r>
  <r>
    <d v="2025-04-03T00:00:00"/>
    <s v="PO08042503"/>
    <s v="PT Mitra Plastik Nusantara"/>
    <x v="9"/>
    <x v="9"/>
    <n v="1870"/>
    <s v="kg"/>
    <d v="2025-04-11T00:00:00"/>
  </r>
  <r>
    <d v="2025-04-07T00:00:00"/>
    <s v="PO12042501"/>
    <s v="PT Cahaya Plastik Abadi"/>
    <x v="10"/>
    <x v="10"/>
    <n v="3200"/>
    <s v="kg"/>
    <d v="2025-04-15T00:00:00"/>
  </r>
  <r>
    <d v="2025-04-07T00:00:00"/>
    <s v="PO12042502"/>
    <s v="PT Bintang Daur Ulang"/>
    <x v="2"/>
    <x v="2"/>
    <n v="1780"/>
    <s v="kg"/>
    <d v="2025-04-15T00:00:00"/>
  </r>
  <r>
    <d v="2025-04-07T00:00:00"/>
    <s v="PO12042503"/>
    <s v="PT Maju Jaya Plastik"/>
    <x v="4"/>
    <x v="4"/>
    <n v="2640"/>
    <s v="kg"/>
    <d v="2025-04-16T00:00:00"/>
  </r>
  <r>
    <d v="2025-04-10T00:00:00"/>
    <s v="PO15042501"/>
    <s v="PT Surya Polimer Indonesia"/>
    <x v="7"/>
    <x v="7"/>
    <n v="3010"/>
    <s v="kg"/>
    <d v="2025-04-18T00:00:00"/>
  </r>
  <r>
    <d v="2025-04-10T00:00:00"/>
    <s v="PO15042502"/>
    <s v="PT Global Recycle Industry"/>
    <x v="3"/>
    <x v="3"/>
    <n v="2190"/>
    <s v="kg"/>
    <d v="2025-04-18T00:00:00"/>
  </r>
  <r>
    <d v="2025-04-10T00:00:00"/>
    <s v="PO15042503"/>
    <s v="PT Indo Plastik Mandiri"/>
    <x v="8"/>
    <x v="8"/>
    <n v="2440"/>
    <s v="kg"/>
    <d v="2025-04-19T00:00:00"/>
  </r>
  <r>
    <d v="2025-04-15T00:00:00"/>
    <s v="PO20042501"/>
    <s v="PT Mitra Plastik Nusantara"/>
    <x v="5"/>
    <x v="5"/>
    <n v="2310"/>
    <s v="kg"/>
    <d v="2025-04-23T00:00:00"/>
  </r>
  <r>
    <d v="2025-04-15T00:00:00"/>
    <s v="PO20042502"/>
    <s v="PT Cahaya Plastik Abadi"/>
    <x v="0"/>
    <x v="0"/>
    <n v="2950"/>
    <s v="kg"/>
    <d v="2025-04-23T00:00:00"/>
  </r>
  <r>
    <d v="2025-04-15T00:00:00"/>
    <s v="PO20042503"/>
    <s v="PT Bintang Daur Ulang"/>
    <x v="1"/>
    <x v="1"/>
    <n v="2075"/>
    <s v="kg"/>
    <d v="2025-04-24T00:00:00"/>
  </r>
  <r>
    <d v="2025-04-19T00:00:00"/>
    <s v="PO24042501"/>
    <s v="PT Global Recycle Industry"/>
    <x v="9"/>
    <x v="9"/>
    <n v="1880"/>
    <s v="kg"/>
    <d v="2025-04-27T00:00:00"/>
  </r>
  <r>
    <d v="2025-04-19T00:00:00"/>
    <s v="PO24042502"/>
    <s v="PT Indo Plastik Mandiri"/>
    <x v="2"/>
    <x v="2"/>
    <n v="2540"/>
    <s v="kg"/>
    <d v="2025-04-27T00:00:00"/>
  </r>
  <r>
    <d v="2025-04-19T00:00:00"/>
    <s v="PO24042503"/>
    <s v="PT Surya Polimer Indonesia"/>
    <x v="10"/>
    <x v="10"/>
    <n v="3360"/>
    <s v="kg"/>
    <d v="2025-04-28T00:00:00"/>
  </r>
  <r>
    <d v="2025-04-23T00:00:00"/>
    <s v="PO28042501"/>
    <s v="PT Maju Jaya Plastik"/>
    <x v="3"/>
    <x v="3"/>
    <n v="2010"/>
    <s v="kg"/>
    <d v="2025-04-30T00:00:00"/>
  </r>
  <r>
    <d v="2025-04-23T00:00:00"/>
    <s v="PO28042502"/>
    <s v="PT Mitra Plastik Nusantara"/>
    <x v="4"/>
    <x v="4"/>
    <n v="2675"/>
    <s v="kg"/>
    <d v="2025-04-30T00:00:00"/>
  </r>
  <r>
    <d v="2025-04-23T00:00:00"/>
    <s v="PO28042503"/>
    <s v="PT Cahaya Plastik Abadi"/>
    <x v="7"/>
    <x v="7"/>
    <n v="2230"/>
    <s v="kg"/>
    <d v="2025-05-01T00:00:00"/>
  </r>
  <r>
    <d v="2025-04-26T00:00:00"/>
    <s v="PO01052501"/>
    <s v="PT Maju Jaya Plastik"/>
    <x v="0"/>
    <x v="0"/>
    <n v="1820"/>
    <s v="kg"/>
    <d v="2025-05-04T00:00:00"/>
  </r>
  <r>
    <d v="2025-04-26T00:00:00"/>
    <s v="PO01052502"/>
    <s v="PT Surya Polimer Indonesia"/>
    <x v="2"/>
    <x v="2"/>
    <n v="2560"/>
    <s v="kg"/>
    <d v="2025-05-04T00:00:00"/>
  </r>
  <r>
    <d v="2025-04-27T00:00:00"/>
    <s v="PO02052501"/>
    <s v="PT Mitra Plastik Nusantara"/>
    <x v="1"/>
    <x v="1"/>
    <n v="3100"/>
    <s v="kg"/>
    <d v="2025-05-05T00:00:00"/>
  </r>
  <r>
    <d v="2025-04-27T00:00:00"/>
    <s v="PO02052502"/>
    <s v="PT Global Recycle Industry"/>
    <x v="3"/>
    <x v="3"/>
    <n v="1450"/>
    <s v="kg"/>
    <d v="2025-05-06T00:00:00"/>
  </r>
  <r>
    <d v="2025-04-28T00:00:00"/>
    <s v="PO03052501"/>
    <s v="PT Indo Plastik Mandiri"/>
    <x v="5"/>
    <x v="5"/>
    <n v="2280"/>
    <s v="kg"/>
    <d v="2025-05-07T00:00:00"/>
  </r>
  <r>
    <d v="2025-04-28T00:00:00"/>
    <s v="PO03052502"/>
    <s v="PT Cahaya Plastik Abadi"/>
    <x v="4"/>
    <x v="4"/>
    <n v="2750"/>
    <s v="kg"/>
    <d v="2025-05-07T00:00:00"/>
  </r>
  <r>
    <d v="2025-04-29T00:00:00"/>
    <s v="PO04052501"/>
    <s v="PT Bintang Daur Ulang"/>
    <x v="6"/>
    <x v="6"/>
    <n v="1640"/>
    <s v="kg"/>
    <d v="2025-05-08T00:00:00"/>
  </r>
  <r>
    <d v="2025-04-30T00:00:00"/>
    <s v="PO05052501"/>
    <s v="PT Maju Jaya Plastik"/>
    <x v="7"/>
    <x v="7"/>
    <n v="3050"/>
    <s v="kg"/>
    <d v="2025-05-09T00:00:00"/>
  </r>
  <r>
    <d v="2025-05-01T00:00:00"/>
    <s v="PO06052501"/>
    <s v="PT Surya Polimer Indonesia"/>
    <x v="10"/>
    <x v="10"/>
    <n v="1980"/>
    <s v="kg"/>
    <d v="2025-05-10T00:00:00"/>
  </r>
  <r>
    <d v="2025-05-02T00:00:00"/>
    <s v="PO07052501"/>
    <s v="PT Mitra Plastik Nusantara"/>
    <x v="9"/>
    <x v="9"/>
    <n v="2120"/>
    <s v="kg"/>
    <d v="2025-05-11T00:00:00"/>
  </r>
  <r>
    <d v="2025-05-03T00:00:00"/>
    <s v="PO08052501"/>
    <s v="PT Global Recycle Industry"/>
    <x v="1"/>
    <x v="1"/>
    <n v="3340"/>
    <s v="kg"/>
    <d v="2025-05-12T00:00:00"/>
  </r>
  <r>
    <d v="2025-05-04T00:00:00"/>
    <s v="PO09052501"/>
    <s v="PT Indo Plastik Mandiri"/>
    <x v="0"/>
    <x v="0"/>
    <n v="2890"/>
    <s v="kg"/>
    <d v="2025-05-13T00:00:00"/>
  </r>
  <r>
    <d v="2025-05-05T00:00:00"/>
    <s v="PO10052501"/>
    <s v="PT Cahaya Plastik Abadi"/>
    <x v="2"/>
    <x v="2"/>
    <n v="1570"/>
    <s v="kg"/>
    <d v="2025-05-14T00:00:00"/>
  </r>
  <r>
    <d v="2025-05-06T00:00:00"/>
    <s v="PO11052501"/>
    <s v="PT Bintang Daur Ulang"/>
    <x v="3"/>
    <x v="3"/>
    <n v="2210"/>
    <s v="kg"/>
    <d v="2025-05-15T00:00:00"/>
  </r>
  <r>
    <d v="2025-05-07T00:00:00"/>
    <s v="PO12052501"/>
    <s v="PT Maju Jaya Plastik"/>
    <x v="4"/>
    <x v="4"/>
    <n v="3400"/>
    <s v="kg"/>
    <d v="2025-05-16T00:00:00"/>
  </r>
  <r>
    <d v="2025-05-08T00:00:00"/>
    <s v="PO13052501"/>
    <s v="PT Surya Polimer Indonesia"/>
    <x v="5"/>
    <x v="5"/>
    <n v="2755"/>
    <s v="kg"/>
    <d v="2025-05-17T00:00:00"/>
  </r>
  <r>
    <d v="2025-05-09T00:00:00"/>
    <s v="PO14052501"/>
    <s v="PT Mitra Plastik Nusantara"/>
    <x v="10"/>
    <x v="10"/>
    <n v="1985"/>
    <s v="kg"/>
    <d v="2025-05-18T00:00:00"/>
  </r>
  <r>
    <d v="2025-05-10T00:00:00"/>
    <s v="PO15052501"/>
    <s v="PT Global Recycle Industry"/>
    <x v="6"/>
    <x v="6"/>
    <n v="2440"/>
    <s v="kg"/>
    <d v="2025-05-19T00:00:00"/>
  </r>
  <r>
    <d v="2025-05-11T00:00:00"/>
    <s v="PO16052501"/>
    <s v="PT Indo Plastik Mandiri"/>
    <x v="1"/>
    <x v="1"/>
    <n v="3110"/>
    <s v="kg"/>
    <d v="2025-05-20T00:00:00"/>
  </r>
  <r>
    <d v="2025-05-12T00:00:00"/>
    <s v="PO17052501"/>
    <s v="PT Cahaya Plastik Abadi"/>
    <x v="0"/>
    <x v="0"/>
    <n v="2680"/>
    <s v="kg"/>
    <d v="2025-05-21T00:00:00"/>
  </r>
  <r>
    <d v="2025-05-13T00:00:00"/>
    <s v="PO18052501"/>
    <s v="PT Bintang Daur Ulang"/>
    <x v="7"/>
    <x v="7"/>
    <n v="1870"/>
    <s v="kg"/>
    <d v="2025-05-22T00:00:00"/>
  </r>
  <r>
    <d v="2025-05-14T00:00:00"/>
    <s v="PO19052501"/>
    <s v="PT Maju Jaya Plastik"/>
    <x v="2"/>
    <x v="2"/>
    <n v="2330"/>
    <s v="kg"/>
    <d v="2025-05-23T00:00:00"/>
  </r>
  <r>
    <d v="2025-05-15T00:00:00"/>
    <s v="PO20052501"/>
    <s v="PT Surya Polimer Indonesia"/>
    <x v="9"/>
    <x v="9"/>
    <n v="1765"/>
    <s v="kg"/>
    <d v="2025-05-24T00:00:00"/>
  </r>
  <r>
    <d v="2025-05-16T00:00:00"/>
    <s v="PO21052501"/>
    <s v="PT Mitra Plastik Nusantara"/>
    <x v="4"/>
    <x v="4"/>
    <n v="2950"/>
    <s v="kg"/>
    <d v="2025-05-25T00:00:00"/>
  </r>
  <r>
    <d v="2025-05-17T00:00:00"/>
    <s v="PO22052501"/>
    <s v="PT Global Recycle Industry"/>
    <x v="5"/>
    <x v="5"/>
    <n v="3210"/>
    <s v="kg"/>
    <d v="2025-05-26T00:00:00"/>
  </r>
  <r>
    <d v="2025-05-18T00:00:00"/>
    <s v="PO23052501"/>
    <s v="PT Indo Plastik Mandiri"/>
    <x v="10"/>
    <x v="10"/>
    <n v="2080"/>
    <s v="kg"/>
    <d v="2025-05-27T00:00:00"/>
  </r>
  <r>
    <d v="2025-05-19T00:00:00"/>
    <s v="PO24052501"/>
    <s v="PT Cahaya Plastik Abadi"/>
    <x v="3"/>
    <x v="3"/>
    <n v="2650"/>
    <s v="kg"/>
    <d v="2025-05-28T00:00:00"/>
  </r>
  <r>
    <d v="2025-05-27T00:00:00"/>
    <s v="PO01062501"/>
    <s v="PT Maju Jaya Plastik"/>
    <x v="0"/>
    <x v="0"/>
    <n v="2150"/>
    <s v="kg"/>
    <d v="2025-06-03T00:00:00"/>
  </r>
  <r>
    <d v="2025-05-27T00:00:00"/>
    <s v="PO01062502"/>
    <s v="PT Surya Polimer Indonesia"/>
    <x v="2"/>
    <x v="2"/>
    <n v="1890"/>
    <s v="kg"/>
    <d v="2025-06-04T00:00:00"/>
  </r>
  <r>
    <d v="2025-05-28T00:00:00"/>
    <s v="PO02062501"/>
    <s v="PT Mitra Plastik Nusantara"/>
    <x v="1"/>
    <x v="1"/>
    <n v="2750"/>
    <s v="kg"/>
    <d v="2025-06-05T00:00:00"/>
  </r>
  <r>
    <d v="2025-05-29T00:00:00"/>
    <s v="PO03062501"/>
    <s v="PT Global Recycle Industry"/>
    <x v="3"/>
    <x v="3"/>
    <n v="3025"/>
    <s v="kg"/>
    <d v="2025-06-06T00:00:00"/>
  </r>
  <r>
    <d v="2025-05-29T00:00:00"/>
    <s v="PO03062502"/>
    <s v="PT Indo Plastik Mandiri"/>
    <x v="4"/>
    <x v="4"/>
    <n v="1540"/>
    <s v="kg"/>
    <d v="2025-06-07T00:00:00"/>
  </r>
  <r>
    <d v="2025-05-30T00:00:00"/>
    <s v="PO04062501"/>
    <s v="PT Cahaya Plastik Abadi"/>
    <x v="5"/>
    <x v="5"/>
    <n v="3320"/>
    <s v="kg"/>
    <d v="2025-06-08T00:00:00"/>
  </r>
  <r>
    <d v="2025-05-31T00:00:00"/>
    <s v="PO05062501"/>
    <s v="PT Bintang Daur Ulang"/>
    <x v="6"/>
    <x v="6"/>
    <n v="1780"/>
    <s v="kg"/>
    <d v="2025-06-09T00:00:00"/>
  </r>
  <r>
    <d v="2025-06-01T00:00:00"/>
    <s v="PO06062501"/>
    <s v="PT Maju Jaya Plastik"/>
    <x v="7"/>
    <x v="7"/>
    <n v="2980"/>
    <s v="kg"/>
    <d v="2025-06-10T00:00:00"/>
  </r>
  <r>
    <d v="2025-06-02T00:00:00"/>
    <s v="PO07062501"/>
    <s v="PT Surya Polimer Indonesia"/>
    <x v="8"/>
    <x v="8"/>
    <n v="2410"/>
    <s v="kg"/>
    <d v="2025-06-11T00:00:00"/>
  </r>
  <r>
    <d v="2025-06-03T00:00:00"/>
    <s v="PO08062501"/>
    <s v="PT Mitra Plastik Nusantara"/>
    <x v="10"/>
    <x v="10"/>
    <n v="3650"/>
    <s v="kg"/>
    <d v="2025-06-12T00:00:00"/>
  </r>
  <r>
    <d v="2025-06-04T00:00:00"/>
    <s v="PO09062501"/>
    <s v="PT Global Recycle Industry"/>
    <x v="0"/>
    <x v="0"/>
    <n v="1875"/>
    <s v="kg"/>
    <d v="2025-06-13T00:00:00"/>
  </r>
  <r>
    <d v="2025-06-05T00:00:00"/>
    <s v="PO10062501"/>
    <s v="PT Indo Plastik Mandiri"/>
    <x v="2"/>
    <x v="2"/>
    <n v="2100"/>
    <s v="kg"/>
    <d v="2025-06-14T00:00:00"/>
  </r>
  <r>
    <d v="2025-06-06T00:00:00"/>
    <s v="PO11062501"/>
    <s v="PT Cahaya Plastik Abadi"/>
    <x v="3"/>
    <x v="3"/>
    <n v="2990"/>
    <s v="kg"/>
    <d v="2025-06-15T00:00:00"/>
  </r>
  <r>
    <d v="2025-06-07T00:00:00"/>
    <s v="PO12062501"/>
    <s v="PT Bintang Daur Ulang"/>
    <x v="1"/>
    <x v="1"/>
    <n v="2550"/>
    <s v="kg"/>
    <d v="2025-06-16T00:00:00"/>
  </r>
  <r>
    <d v="2025-06-08T00:00:00"/>
    <s v="PO13062501"/>
    <s v="PT Maju Jaya Plastik"/>
    <x v="5"/>
    <x v="5"/>
    <n v="3210"/>
    <s v="kg"/>
    <d v="2025-06-17T00:00:00"/>
  </r>
  <r>
    <d v="2025-06-09T00:00:00"/>
    <s v="PO14062501"/>
    <s v="PT Surya Polimer Indonesia"/>
    <x v="4"/>
    <x v="4"/>
    <n v="1980"/>
    <s v="kg"/>
    <d v="2025-06-18T00:00:00"/>
  </r>
  <r>
    <d v="2025-06-10T00:00:00"/>
    <s v="PO15062501"/>
    <s v="PT Mitra Plastik Nusantara"/>
    <x v="6"/>
    <x v="6"/>
    <n v="1420"/>
    <s v="kg"/>
    <d v="2025-06-19T00:00:00"/>
  </r>
  <r>
    <d v="2025-06-11T00:00:00"/>
    <s v="PO16062501"/>
    <s v="PT Global Recycle Industry"/>
    <x v="7"/>
    <x v="7"/>
    <n v="2890"/>
    <s v="kg"/>
    <d v="2025-06-20T00:00:00"/>
  </r>
  <r>
    <d v="2025-06-12T00:00:00"/>
    <s v="PO17062501"/>
    <s v="PT Indo Plastik Mandiri"/>
    <x v="8"/>
    <x v="8"/>
    <n v="2470"/>
    <s v="kg"/>
    <d v="2025-06-21T00:00:00"/>
  </r>
  <r>
    <d v="2025-06-13T00:00:00"/>
    <s v="PO18062501"/>
    <s v="PT Cahaya Plastik Abadi"/>
    <x v="10"/>
    <x v="10"/>
    <n v="3750"/>
    <s v="kg"/>
    <d v="2025-06-22T00:00:00"/>
  </r>
  <r>
    <d v="2025-06-14T00:00:00"/>
    <s v="PO19062501"/>
    <s v="PT Bintang Daur Ulang"/>
    <x v="0"/>
    <x v="0"/>
    <n v="2230"/>
    <s v="kg"/>
    <d v="2025-06-23T00:00:00"/>
  </r>
  <r>
    <d v="2025-06-15T00:00:00"/>
    <s v="PO20062501"/>
    <s v="PT Maju Jaya Plastik"/>
    <x v="2"/>
    <x v="2"/>
    <n v="2680"/>
    <s v="kg"/>
    <d v="2025-06-24T00:00:00"/>
  </r>
  <r>
    <d v="2025-06-16T00:00:00"/>
    <s v="PO21062501"/>
    <s v="PT Surya Polimer Indonesia"/>
    <x v="3"/>
    <x v="3"/>
    <n v="3140"/>
    <s v="kg"/>
    <d v="2025-06-25T00:00:00"/>
  </r>
  <r>
    <d v="2025-06-17T00:00:00"/>
    <s v="PO22062501"/>
    <s v="PT Mitra Plastik Nusantara"/>
    <x v="5"/>
    <x v="5"/>
    <n v="2980"/>
    <s v="kg"/>
    <d v="2025-06-26T00:00:00"/>
  </r>
  <r>
    <d v="2025-06-18T00:00:00"/>
    <s v="PO23062501"/>
    <s v="PT Global Recycle Industry"/>
    <x v="4"/>
    <x v="4"/>
    <n v="1850"/>
    <s v="kg"/>
    <d v="2025-06-27T00:00:00"/>
  </r>
  <r>
    <d v="2025-06-19T00:00:00"/>
    <s v="PO24062501"/>
    <s v="PT Indo Plastik Mandiri"/>
    <x v="6"/>
    <x v="6"/>
    <n v="2360"/>
    <s v="kg"/>
    <d v="2025-06-28T00:00:00"/>
  </r>
  <r>
    <d v="2025-06-26T00:00:00"/>
    <s v="PO01072501"/>
    <s v="PT Maju Jaya Plastik"/>
    <x v="0"/>
    <x v="0"/>
    <n v="2450"/>
    <s v="kg"/>
    <d v="2025-07-03T00:00:00"/>
  </r>
  <r>
    <d v="2025-06-26T00:00:00"/>
    <s v="PO01072502"/>
    <s v="PT Surya Polimer Indonesia"/>
    <x v="1"/>
    <x v="1"/>
    <n v="3100"/>
    <s v="kg"/>
    <d v="2025-07-04T00:00:00"/>
  </r>
  <r>
    <d v="2025-06-26T00:00:00"/>
    <s v="PO01072503"/>
    <s v="PT Mitra Plastik Nusantara"/>
    <x v="2"/>
    <x v="2"/>
    <n v="1980"/>
    <s v="kg"/>
    <d v="2025-07-04T00:00:00"/>
  </r>
  <r>
    <d v="2025-06-27T00:00:00"/>
    <s v="PO02072501"/>
    <s v="PT Global Recycle Industry"/>
    <x v="3"/>
    <x v="3"/>
    <n v="2875"/>
    <s v="kg"/>
    <d v="2025-07-05T00:00:00"/>
  </r>
  <r>
    <d v="2025-06-27T00:00:00"/>
    <s v="PO02072502"/>
    <s v="PT Indo Plastik Mandiri"/>
    <x v="4"/>
    <x v="4"/>
    <n v="1650"/>
    <s v="kg"/>
    <d v="2025-07-05T00:00:00"/>
  </r>
  <r>
    <d v="2025-06-27T00:00:00"/>
    <s v="PO02072503"/>
    <s v="PT Cahaya Plastik Abadi"/>
    <x v="5"/>
    <x v="5"/>
    <n v="3420"/>
    <s v="kg"/>
    <d v="2025-07-06T00:00:00"/>
  </r>
  <r>
    <d v="2025-06-28T00:00:00"/>
    <s v="PO03072501"/>
    <s v="PT Bintang Daur Ulang"/>
    <x v="6"/>
    <x v="6"/>
    <n v="2210"/>
    <s v="kg"/>
    <d v="2025-07-06T00:00:00"/>
  </r>
  <r>
    <d v="2025-06-28T00:00:00"/>
    <s v="PO03072502"/>
    <s v="PT Maju Jaya Plastik"/>
    <x v="7"/>
    <x v="7"/>
    <n v="3150"/>
    <s v="kg"/>
    <d v="2025-07-07T00:00:00"/>
  </r>
  <r>
    <d v="2025-06-29T00:00:00"/>
    <s v="PO04072501"/>
    <s v="PT Surya Polimer Indonesia"/>
    <x v="0"/>
    <x v="0"/>
    <n v="1890"/>
    <s v="kg"/>
    <d v="2025-07-07T00:00:00"/>
  </r>
  <r>
    <d v="2025-06-29T00:00:00"/>
    <s v="PO04072502"/>
    <s v="PT Mitra Plastik Nusantara"/>
    <x v="2"/>
    <x v="2"/>
    <n v="2765"/>
    <s v="kg"/>
    <d v="2025-07-08T00:00:00"/>
  </r>
  <r>
    <d v="2025-06-29T00:00:00"/>
    <s v="PO04072503"/>
    <s v="PT Global Recycle Industry"/>
    <x v="9"/>
    <x v="9"/>
    <n v="2050"/>
    <s v="kg"/>
    <d v="2025-07-08T00:00:00"/>
  </r>
  <r>
    <d v="2025-06-30T00:00:00"/>
    <s v="PO05072501"/>
    <s v="PT Indo Plastik Mandiri"/>
    <x v="8"/>
    <x v="8"/>
    <n v="2950"/>
    <s v="kg"/>
    <d v="2025-07-08T00:00:00"/>
  </r>
  <r>
    <d v="2025-06-30T00:00:00"/>
    <s v="PO05072502"/>
    <s v="PT Cahaya Plastik Abadi"/>
    <x v="1"/>
    <x v="1"/>
    <n v="3120"/>
    <s v="kg"/>
    <d v="2025-07-09T00:00:00"/>
  </r>
  <r>
    <d v="2025-07-01T00:00:00"/>
    <s v="PO06072501"/>
    <s v="PT Bintang Daur Ulang"/>
    <x v="10"/>
    <x v="10"/>
    <n v="2550"/>
    <s v="kg"/>
    <d v="2025-07-09T00:00:00"/>
  </r>
  <r>
    <d v="2025-07-01T00:00:00"/>
    <s v="PO06072502"/>
    <s v="PT Maju Jaya Plastik"/>
    <x v="3"/>
    <x v="3"/>
    <n v="3400"/>
    <s v="kg"/>
    <d v="2025-07-10T00:00:00"/>
  </r>
  <r>
    <d v="2025-07-02T00:00:00"/>
    <s v="PO07072501"/>
    <s v="PT Surya Polimer Indonesia"/>
    <x v="0"/>
    <x v="0"/>
    <n v="2750"/>
    <s v="kg"/>
    <d v="2025-07-10T00:00:00"/>
  </r>
  <r>
    <d v="2025-07-03T00:00:00"/>
    <s v="PO08072501"/>
    <s v="PT Mitra Plastik Nusantara"/>
    <x v="5"/>
    <x v="5"/>
    <n v="3105"/>
    <s v="kg"/>
    <d v="2025-07-11T00:00:00"/>
  </r>
  <r>
    <d v="2025-07-04T00:00:00"/>
    <s v="PO09072501"/>
    <s v="PT Global Recycle Industry"/>
    <x v="2"/>
    <x v="2"/>
    <n v="2250"/>
    <s v="kg"/>
    <d v="2025-07-12T00:00:00"/>
  </r>
  <r>
    <d v="2025-07-05T00:00:00"/>
    <s v="PO10072501"/>
    <s v="PT Indo Plastik Mandiri"/>
    <x v="4"/>
    <x v="4"/>
    <n v="3325"/>
    <s v="kg"/>
    <d v="2025-07-13T00:00:00"/>
  </r>
  <r>
    <d v="2025-07-06T00:00:00"/>
    <s v="PO11072501"/>
    <s v="PT Cahaya Plastik Abadi"/>
    <x v="7"/>
    <x v="7"/>
    <n v="2870"/>
    <s v="kg"/>
    <d v="2025-07-14T00:00:00"/>
  </r>
  <r>
    <d v="2025-07-07T00:00:00"/>
    <s v="PO12072501"/>
    <s v="PT Bintang Daur Ulang"/>
    <x v="1"/>
    <x v="1"/>
    <n v="3200"/>
    <s v="kg"/>
    <d v="2025-07-15T00:00:00"/>
  </r>
  <r>
    <d v="2025-07-08T00:00:00"/>
    <s v="PO13072501"/>
    <s v="PT Maju Jaya Plastik"/>
    <x v="10"/>
    <x v="10"/>
    <n v="2650"/>
    <s v="kg"/>
    <d v="2025-07-16T00:00:00"/>
  </r>
  <r>
    <d v="2025-07-09T00:00:00"/>
    <s v="PO14072501"/>
    <s v="PT Surya Polimer Indonesia"/>
    <x v="9"/>
    <x v="9"/>
    <n v="2100"/>
    <s v="kg"/>
    <d v="2025-07-17T00:00:00"/>
  </r>
  <r>
    <d v="2025-07-10T00:00:00"/>
    <s v="PO15072501"/>
    <s v="PT Mitra Plastik Nusantara"/>
    <x v="2"/>
    <x v="2"/>
    <n v="2980"/>
    <s v="kg"/>
    <d v="2025-07-18T00:00:00"/>
  </r>
  <r>
    <d v="2025-07-11T00:00:00"/>
    <s v="PO16072501"/>
    <s v="PT Global Recycle Industry"/>
    <x v="5"/>
    <x v="5"/>
    <n v="3450"/>
    <s v="kg"/>
    <d v="2025-07-19T00:00:00"/>
  </r>
  <r>
    <d v="2025-07-12T00:00:00"/>
    <s v="PO17072501"/>
    <s v="PT Indo Plastik Mandiri"/>
    <x v="4"/>
    <x v="4"/>
    <n v="3100"/>
    <s v="kg"/>
    <d v="2025-07-20T00:00:00"/>
  </r>
  <r>
    <d v="2025-07-27T00:00:00"/>
    <s v="PO01082501"/>
    <s v="PT Maju Jaya Plastik"/>
    <x v="0"/>
    <x v="0"/>
    <n v="2500"/>
    <s v="kg"/>
    <d v="2025-08-03T00:00:00"/>
  </r>
  <r>
    <d v="2025-07-28T00:00:00"/>
    <s v="PO02082501"/>
    <s v="PT Surya Polimer Indonesia"/>
    <x v="1"/>
    <x v="1"/>
    <n v="3100"/>
    <s v="kg"/>
    <d v="2025-08-04T00:00:00"/>
  </r>
  <r>
    <d v="2025-07-29T00:00:00"/>
    <s v="PO03082501"/>
    <s v="PT Mitra Plastik Nusantara"/>
    <x v="2"/>
    <x v="2"/>
    <n v="2200"/>
    <s v="kg"/>
    <d v="2025-08-05T00:00:00"/>
  </r>
  <r>
    <d v="2025-07-30T00:00:00"/>
    <s v="PO04082501"/>
    <s v="PT Global Recycle Industry"/>
    <x v="3"/>
    <x v="3"/>
    <n v="1850"/>
    <s v="kg"/>
    <d v="2025-08-06T00:00:00"/>
  </r>
  <r>
    <d v="2025-07-31T00:00:00"/>
    <s v="PO05082501"/>
    <s v="PT Indo Plastik Mandiri"/>
    <x v="4"/>
    <x v="4"/>
    <n v="2950"/>
    <s v="kg"/>
    <d v="2025-08-07T00:00:00"/>
  </r>
  <r>
    <d v="2025-08-01T00:00:00"/>
    <s v="PO06082501"/>
    <s v="PT Cahaya Plastik Abadi"/>
    <x v="5"/>
    <x v="5"/>
    <n v="2700"/>
    <s v="kg"/>
    <d v="2025-08-08T00:00:00"/>
  </r>
  <r>
    <d v="2025-08-02T00:00:00"/>
    <s v="PO07082501"/>
    <s v="PT Bintang Daur Ulang"/>
    <x v="6"/>
    <x v="6"/>
    <n v="1650"/>
    <s v="kg"/>
    <d v="2025-08-09T00:00:00"/>
  </r>
  <r>
    <d v="2025-08-03T00:00:00"/>
    <s v="PO08082501"/>
    <s v="PT Maju Jaya Plastik"/>
    <x v="7"/>
    <x v="7"/>
    <n v="2100"/>
    <s v="kg"/>
    <d v="2025-08-10T00:00:00"/>
  </r>
  <r>
    <d v="2025-08-04T00:00:00"/>
    <s v="PO09082501"/>
    <s v="PT Surya Polimer Indonesia"/>
    <x v="8"/>
    <x v="8"/>
    <n v="3250"/>
    <s v="kg"/>
    <d v="2025-08-11T00:00:00"/>
  </r>
  <r>
    <d v="2025-08-05T00:00:00"/>
    <s v="PO10082501"/>
    <s v="PT Mitra Plastik Nusantara"/>
    <x v="9"/>
    <x v="9"/>
    <n v="2800"/>
    <s v="kg"/>
    <d v="2025-08-12T00:00:00"/>
  </r>
  <r>
    <d v="2025-08-06T00:00:00"/>
    <s v="PO11082501"/>
    <s v="PT Global Recycle Industry"/>
    <x v="10"/>
    <x v="10"/>
    <n v="3400"/>
    <s v="kg"/>
    <d v="2025-08-13T00:00:00"/>
  </r>
  <r>
    <d v="2025-08-07T00:00:00"/>
    <s v="PO12082501"/>
    <s v="PT Indo Plastik Mandiri"/>
    <x v="0"/>
    <x v="0"/>
    <n v="2600"/>
    <s v="kg"/>
    <d v="2025-08-14T00:00:00"/>
  </r>
  <r>
    <d v="2025-08-08T00:00:00"/>
    <s v="PO13082501"/>
    <s v="PT Cahaya Plastik Abadi"/>
    <x v="2"/>
    <x v="2"/>
    <n v="2300"/>
    <s v="kg"/>
    <d v="2025-08-15T00:00:00"/>
  </r>
  <r>
    <d v="2025-08-09T00:00:00"/>
    <s v="PO14082501"/>
    <s v="PT Bintang Daur Ulang"/>
    <x v="4"/>
    <x v="4"/>
    <n v="2900"/>
    <s v="kg"/>
    <d v="2025-08-16T00:00:00"/>
  </r>
  <r>
    <d v="2025-08-10T00:00:00"/>
    <s v="PO15082501"/>
    <s v="PT Maju Jaya Plastik"/>
    <x v="1"/>
    <x v="1"/>
    <n v="3100"/>
    <s v="kg"/>
    <d v="2025-08-17T00:00:00"/>
  </r>
  <r>
    <d v="2025-08-11T00:00:00"/>
    <s v="PO16082501"/>
    <s v="PT Surya Polimer Indonesia"/>
    <x v="5"/>
    <x v="5"/>
    <n v="2750"/>
    <s v="kg"/>
    <d v="2025-08-18T00:00:00"/>
  </r>
  <r>
    <d v="2025-08-12T00:00:00"/>
    <s v="PO17082501"/>
    <s v="PT Mitra Plastik Nusantara"/>
    <x v="7"/>
    <x v="7"/>
    <n v="2400"/>
    <s v="kg"/>
    <d v="2025-08-19T00:00:00"/>
  </r>
  <r>
    <d v="2025-08-13T00:00:00"/>
    <s v="PO18082501"/>
    <s v="PT Global Recycle Industry"/>
    <x v="3"/>
    <x v="3"/>
    <n v="2000"/>
    <s v="kg"/>
    <d v="2025-08-20T00:00:00"/>
  </r>
  <r>
    <d v="2025-08-14T00:00:00"/>
    <s v="PO19082501"/>
    <s v="PT Indo Plastik Mandiri"/>
    <x v="6"/>
    <x v="6"/>
    <n v="1750"/>
    <s v="kg"/>
    <d v="2025-08-21T00:00:00"/>
  </r>
  <r>
    <d v="2025-08-15T00:00:00"/>
    <s v="PO20082501"/>
    <s v="PT Cahaya Plastik Abadi"/>
    <x v="10"/>
    <x v="10"/>
    <n v="3550"/>
    <s v="kg"/>
    <d v="2025-08-22T00:00:00"/>
  </r>
  <r>
    <d v="2025-08-16T00:00:00"/>
    <s v="PO21082501"/>
    <s v="PT Bintang Daur Ulang"/>
    <x v="8"/>
    <x v="8"/>
    <n v="2650"/>
    <s v="kg"/>
    <d v="2025-08-23T00:00:00"/>
  </r>
  <r>
    <d v="2025-08-17T00:00:00"/>
    <s v="PO22082501"/>
    <s v="PT Maju Jaya Plastik"/>
    <x v="0"/>
    <x v="0"/>
    <n v="2850"/>
    <s v="kg"/>
    <d v="2025-08-24T00:00:00"/>
  </r>
  <r>
    <d v="2025-08-18T00:00:00"/>
    <s v="PO23082501"/>
    <s v="PT Surya Polimer Indonesia"/>
    <x v="9"/>
    <x v="9"/>
    <n v="2950"/>
    <s v="kg"/>
    <d v="2025-08-25T00:00:00"/>
  </r>
  <r>
    <d v="2025-08-19T00:00:00"/>
    <s v="PO24082501"/>
    <s v="PT Mitra Plastik Nusantara"/>
    <x v="2"/>
    <x v="2"/>
    <n v="2150"/>
    <s v="kg"/>
    <d v="2025-08-26T00:00:00"/>
  </r>
  <r>
    <d v="2025-08-20T00:00:00"/>
    <s v="PO25082501"/>
    <s v="PT Global Recycle Industry"/>
    <x v="5"/>
    <x v="5"/>
    <n v="3050"/>
    <s v="kg"/>
    <d v="2025-08-27T00:00:00"/>
  </r>
  <r>
    <d v="2025-08-27T00:00:00"/>
    <s v="PO01092501"/>
    <s v="PT Maju Jaya Plastik"/>
    <x v="0"/>
    <x v="0"/>
    <n v="2150"/>
    <s v="kg"/>
    <d v="2025-09-03T00:00:00"/>
  </r>
  <r>
    <d v="2025-08-27T00:00:00"/>
    <s v="PO01092502"/>
    <s v="PT Surya Polimer Indonesia"/>
    <x v="2"/>
    <x v="2"/>
    <n v="3200"/>
    <s v="kg"/>
    <d v="2025-09-04T00:00:00"/>
  </r>
  <r>
    <d v="2025-08-28T00:00:00"/>
    <s v="PO02092501"/>
    <s v="PT Mitra Plastik Nusantara"/>
    <x v="1"/>
    <x v="1"/>
    <n v="1850"/>
    <s v="kg"/>
    <d v="2025-09-05T00:00:00"/>
  </r>
  <r>
    <d v="2025-08-29T00:00:00"/>
    <s v="PO03092501"/>
    <s v="PT Global Recycle Industry"/>
    <x v="3"/>
    <x v="3"/>
    <n v="2600"/>
    <s v="kg"/>
    <d v="2025-09-06T00:00:00"/>
  </r>
  <r>
    <d v="2025-08-29T00:00:00"/>
    <s v="PO03092502"/>
    <s v="PT Cahaya Plastik Abadi"/>
    <x v="5"/>
    <x v="5"/>
    <n v="2980"/>
    <s v="kg"/>
    <d v="2025-09-07T00:00:00"/>
  </r>
  <r>
    <d v="2025-08-30T00:00:00"/>
    <s v="PO04092501"/>
    <s v="PT Indo Plastik Mandiri"/>
    <x v="4"/>
    <x v="4"/>
    <n v="3350"/>
    <s v="kg"/>
    <d v="2025-09-07T00:00:00"/>
  </r>
  <r>
    <d v="2025-08-31T00:00:00"/>
    <s v="PO05092501"/>
    <s v="PT Bintang Daur Ulang"/>
    <x v="6"/>
    <x v="6"/>
    <n v="1740"/>
    <s v="kg"/>
    <d v="2025-09-08T00:00:00"/>
  </r>
  <r>
    <d v="2025-09-01T00:00:00"/>
    <s v="PO06092501"/>
    <s v="PT Maju Jaya Plastik"/>
    <x v="0"/>
    <x v="0"/>
    <n v="2860"/>
    <s v="kg"/>
    <d v="2025-09-09T00:00:00"/>
  </r>
  <r>
    <d v="2025-09-02T00:00:00"/>
    <s v="PO07092501"/>
    <s v="PT Surya Polimer Indonesia"/>
    <x v="7"/>
    <x v="7"/>
    <n v="3100"/>
    <s v="kg"/>
    <d v="2025-09-10T00:00:00"/>
  </r>
  <r>
    <d v="2025-09-03T00:00:00"/>
    <s v="PO08092501"/>
    <s v="PT Mitra Plastik Nusantara"/>
    <x v="2"/>
    <x v="2"/>
    <n v="2450"/>
    <s v="kg"/>
    <d v="2025-09-11T00:00:00"/>
  </r>
  <r>
    <d v="2025-09-04T00:00:00"/>
    <s v="PO09092501"/>
    <s v="PT Global Recycle Industry"/>
    <x v="8"/>
    <x v="8"/>
    <n v="2100"/>
    <s v="kg"/>
    <d v="2025-09-12T00:00:00"/>
  </r>
  <r>
    <d v="2025-09-05T00:00:00"/>
    <s v="PO10092501"/>
    <s v="PT Cahaya Plastik Abadi"/>
    <x v="5"/>
    <x v="5"/>
    <n v="3750"/>
    <s v="kg"/>
    <d v="2025-09-13T00:00:00"/>
  </r>
  <r>
    <d v="2025-09-05T00:00:00"/>
    <s v="PO10092502"/>
    <s v="PT Indo Plastik Mandiri"/>
    <x v="3"/>
    <x v="3"/>
    <n v="2980"/>
    <s v="kg"/>
    <d v="2025-09-13T00:00:00"/>
  </r>
  <r>
    <d v="2025-09-06T00:00:00"/>
    <s v="PO11092501"/>
    <s v="PT Bintang Daur Ulang"/>
    <x v="9"/>
    <x v="9"/>
    <n v="1540"/>
    <s v="kg"/>
    <d v="2025-09-14T00:00:00"/>
  </r>
  <r>
    <d v="2025-09-07T00:00:00"/>
    <s v="PO12092501"/>
    <s v="PT Maju Jaya Plastik"/>
    <x v="10"/>
    <x v="10"/>
    <n v="4050"/>
    <s v="kg"/>
    <d v="2025-09-15T00:00:00"/>
  </r>
  <r>
    <d v="2025-09-08T00:00:00"/>
    <s v="PO13092501"/>
    <s v="PT Surya Polimer Indonesia"/>
    <x v="1"/>
    <x v="1"/>
    <n v="2600"/>
    <s v="kg"/>
    <d v="2025-09-16T00:00:00"/>
  </r>
  <r>
    <d v="2025-09-09T00:00:00"/>
    <s v="PO14092501"/>
    <s v="PT Mitra Plastik Nusantara"/>
    <x v="4"/>
    <x v="4"/>
    <n v="2300"/>
    <s v="kg"/>
    <d v="2025-09-17T00:00:00"/>
  </r>
  <r>
    <d v="2025-09-10T00:00:00"/>
    <s v="PO15092501"/>
    <s v="PT Global Recycle Industry"/>
    <x v="0"/>
    <x v="0"/>
    <n v="3420"/>
    <s v="kg"/>
    <d v="2025-09-18T00:00:00"/>
  </r>
  <r>
    <d v="2025-09-11T00:00:00"/>
    <s v="PO16092501"/>
    <s v="PT Cahaya Plastik Abadi"/>
    <x v="5"/>
    <x v="5"/>
    <n v="2985"/>
    <s v="kg"/>
    <d v="2025-09-19T00:00:00"/>
  </r>
  <r>
    <d v="2025-09-12T00:00:00"/>
    <s v="PO17092501"/>
    <s v="PT Indo Plastik Mandiri"/>
    <x v="2"/>
    <x v="2"/>
    <n v="3150"/>
    <s v="kg"/>
    <d v="2025-09-20T00:00:00"/>
  </r>
  <r>
    <d v="2025-09-13T00:00:00"/>
    <s v="PO18092501"/>
    <s v="PT Bintang Daur Ulang"/>
    <x v="6"/>
    <x v="6"/>
    <n v="1840"/>
    <s v="kg"/>
    <d v="2025-09-21T00:00:00"/>
  </r>
  <r>
    <d v="2025-09-14T00:00:00"/>
    <s v="PO19092501"/>
    <s v="PT Maju Jaya Plastik"/>
    <x v="10"/>
    <x v="10"/>
    <n v="4200"/>
    <s v="kg"/>
    <d v="2025-09-22T00:00:00"/>
  </r>
  <r>
    <d v="2025-09-15T00:00:00"/>
    <s v="PO20092501"/>
    <s v="PT Surya Polimer Indonesia"/>
    <x v="3"/>
    <x v="3"/>
    <n v="2990"/>
    <s v="kg"/>
    <d v="2025-09-23T00:00:00"/>
  </r>
  <r>
    <d v="2025-09-16T00:00:00"/>
    <s v="PO21092501"/>
    <s v="PT Mitra Plastik Nusantara"/>
    <x v="8"/>
    <x v="8"/>
    <n v="2500"/>
    <s v="kg"/>
    <d v="2025-09-24T00:00:00"/>
  </r>
  <r>
    <d v="2025-09-17T00:00:00"/>
    <s v="PO22092501"/>
    <s v="PT Global Recycle Industry"/>
    <x v="1"/>
    <x v="1"/>
    <n v="2680"/>
    <s v="kg"/>
    <d v="2025-09-25T00:00:00"/>
  </r>
  <r>
    <d v="2025-09-18T00:00:00"/>
    <s v="PO23092501"/>
    <s v="PT Cahaya Plastik Abadi"/>
    <x v="7"/>
    <x v="7"/>
    <n v="3100"/>
    <s v="kg"/>
    <d v="2025-09-26T00:00:00"/>
  </r>
  <r>
    <d v="2025-09-19T00:00:00"/>
    <s v="PO24092501"/>
    <s v="PT Indo Plastik Mandiri"/>
    <x v="4"/>
    <x v="4"/>
    <n v="3450"/>
    <s v="kg"/>
    <d v="2025-09-27T00:00:00"/>
  </r>
  <r>
    <d v="2025-09-26T00:00:00"/>
    <s v="PO01102501"/>
    <s v="PT Maju Jaya Plastik"/>
    <x v="0"/>
    <x v="0"/>
    <n v="2100"/>
    <s v="kg"/>
    <d v="2025-10-03T00:00:00"/>
  </r>
  <r>
    <d v="2025-09-27T00:00:00"/>
    <s v="PO02102501"/>
    <s v="PT Surya Polimer Indonesia"/>
    <x v="1"/>
    <x v="1"/>
    <n v="1850"/>
    <s v="kg"/>
    <d v="2025-10-05T00:00:00"/>
  </r>
  <r>
    <d v="2025-09-28T00:00:00"/>
    <s v="PO03102501"/>
    <s v="PT Mitra Plastik Nusantara"/>
    <x v="2"/>
    <x v="2"/>
    <n v="3200"/>
    <s v="kg"/>
    <d v="2025-10-06T00:00:00"/>
  </r>
  <r>
    <d v="2025-09-29T00:00:00"/>
    <s v="PO04102501"/>
    <s v="PT Global Recycle Industry"/>
    <x v="3"/>
    <x v="3"/>
    <n v="2750"/>
    <s v="kg"/>
    <d v="2025-10-07T00:00:00"/>
  </r>
  <r>
    <d v="2025-09-30T00:00:00"/>
    <s v="PO05102501"/>
    <s v="PT Indo Plastik Mandiri"/>
    <x v="4"/>
    <x v="4"/>
    <n v="1980"/>
    <s v="kg"/>
    <d v="2025-10-08T00:00:00"/>
  </r>
  <r>
    <d v="2025-10-01T00:00:00"/>
    <s v="PO06102501"/>
    <s v="PT Cahaya Plastik Abadi"/>
    <x v="5"/>
    <x v="5"/>
    <n v="3050"/>
    <s v="kg"/>
    <d v="2025-10-09T00:00:00"/>
  </r>
  <r>
    <d v="2025-10-02T00:00:00"/>
    <s v="PO07102501"/>
    <s v="PT Bintang Daur Ulang"/>
    <x v="6"/>
    <x v="6"/>
    <n v="2240"/>
    <s v="kg"/>
    <d v="2025-10-10T00:00:00"/>
  </r>
  <r>
    <d v="2025-10-03T00:00:00"/>
    <s v="PO08102501"/>
    <s v="PT Maju Jaya Plastik"/>
    <x v="7"/>
    <x v="7"/>
    <n v="2675"/>
    <s v="kg"/>
    <d v="2025-10-11T00:00:00"/>
  </r>
  <r>
    <d v="2025-10-04T00:00:00"/>
    <s v="PO09102501"/>
    <s v="PT Surya Polimer Indonesia"/>
    <x v="8"/>
    <x v="8"/>
    <n v="2890"/>
    <s v="kg"/>
    <d v="2025-10-12T00:00:00"/>
  </r>
  <r>
    <d v="2025-10-05T00:00:00"/>
    <s v="PO10102501"/>
    <s v="PT Mitra Plastik Nusantara"/>
    <x v="9"/>
    <x v="9"/>
    <n v="1760"/>
    <s v="kg"/>
    <d v="2025-10-13T00:00:00"/>
  </r>
  <r>
    <d v="2025-10-06T00:00:00"/>
    <s v="PO11102501"/>
    <s v="PT Global Recycle Industry"/>
    <x v="10"/>
    <x v="10"/>
    <n v="3500"/>
    <s v="kg"/>
    <d v="2025-10-14T00:00:00"/>
  </r>
  <r>
    <d v="2025-10-07T00:00:00"/>
    <s v="PO12102501"/>
    <s v="PT Indo Plastik Mandiri"/>
    <x v="0"/>
    <x v="0"/>
    <n v="2600"/>
    <s v="kg"/>
    <d v="2025-10-15T00:00:00"/>
  </r>
  <r>
    <d v="2025-10-08T00:00:00"/>
    <s v="PO13102501"/>
    <s v="PT Cahaya Plastik Abadi"/>
    <x v="1"/>
    <x v="1"/>
    <n v="2400"/>
    <s v="kg"/>
    <d v="2025-10-16T00:00:00"/>
  </r>
  <r>
    <d v="2025-10-09T00:00:00"/>
    <s v="PO14102501"/>
    <s v="PT Bintang Daur Ulang"/>
    <x v="2"/>
    <x v="2"/>
    <n v="3150"/>
    <s v="kg"/>
    <d v="2025-10-17T00:00:00"/>
  </r>
  <r>
    <d v="2025-10-10T00:00:00"/>
    <s v="PO15102501"/>
    <s v="PT Maju Jaya Plastik"/>
    <x v="3"/>
    <x v="3"/>
    <n v="2210"/>
    <s v="kg"/>
    <d v="2025-10-18T00:00:00"/>
  </r>
  <r>
    <d v="2025-10-11T00:00:00"/>
    <s v="PO16102501"/>
    <s v="PT Surya Polimer Indonesia"/>
    <x v="4"/>
    <x v="4"/>
    <n v="2750"/>
    <s v="kg"/>
    <d v="2025-10-19T00:00:00"/>
  </r>
  <r>
    <d v="2025-10-12T00:00:00"/>
    <s v="PO17102501"/>
    <s v="PT Mitra Plastik Nusantara"/>
    <x v="5"/>
    <x v="5"/>
    <n v="2330"/>
    <s v="kg"/>
    <d v="2025-10-20T00:00:00"/>
  </r>
  <r>
    <d v="2025-10-13T00:00:00"/>
    <s v="PO18102501"/>
    <s v="PT Global Recycle Industry"/>
    <x v="6"/>
    <x v="6"/>
    <n v="2980"/>
    <s v="kg"/>
    <d v="2025-10-21T00:00:00"/>
  </r>
  <r>
    <d v="2025-10-14T00:00:00"/>
    <s v="PO19102501"/>
    <s v="PT Indo Plastik Mandiri"/>
    <x v="7"/>
    <x v="7"/>
    <n v="1880"/>
    <s v="kg"/>
    <d v="2025-10-22T00:00:00"/>
  </r>
  <r>
    <d v="2025-10-15T00:00:00"/>
    <s v="PO20102501"/>
    <s v="PT Cahaya Plastik Abadi"/>
    <x v="8"/>
    <x v="8"/>
    <n v="3200"/>
    <s v="kg"/>
    <d v="2025-10-23T00:00:00"/>
  </r>
  <r>
    <d v="2025-10-16T00:00:00"/>
    <s v="PO21102501"/>
    <s v="PT Bintang Daur Ulang"/>
    <x v="9"/>
    <x v="9"/>
    <n v="2450"/>
    <s v="kg"/>
    <d v="2025-10-24T00:00:00"/>
  </r>
  <r>
    <d v="2025-10-17T00:00:00"/>
    <s v="PO22102501"/>
    <s v="PT Maju Jaya Plastik"/>
    <x v="10"/>
    <x v="10"/>
    <n v="3560"/>
    <s v="kg"/>
    <d v="2025-10-25T00:00:00"/>
  </r>
  <r>
    <d v="2025-10-18T00:00:00"/>
    <s v="PO23102501"/>
    <s v="PT Surya Polimer Indonesia"/>
    <x v="0"/>
    <x v="0"/>
    <n v="2070"/>
    <s v="kg"/>
    <d v="2025-10-26T00:00:00"/>
  </r>
  <r>
    <d v="2025-10-19T00:00:00"/>
    <s v="PO24102501"/>
    <s v="PT Mitra Plastik Nusantara"/>
    <x v="1"/>
    <x v="1"/>
    <n v="2940"/>
    <s v="kg"/>
    <d v="2025-10-27T00:00:00"/>
  </r>
  <r>
    <d v="2025-10-20T00:00:00"/>
    <s v="PO25102501"/>
    <s v="PT Global Recycle Industry"/>
    <x v="2"/>
    <x v="2"/>
    <n v="3100"/>
    <s v="kg"/>
    <d v="2025-10-28T00:00:00"/>
  </r>
  <r>
    <d v="2025-10-27T00:00:00"/>
    <s v="PO01112501"/>
    <s v="PT Maju Jaya Plastik"/>
    <x v="0"/>
    <x v="0"/>
    <n v="2150"/>
    <s v="kg"/>
    <d v="2025-11-03T00:00:00"/>
  </r>
  <r>
    <d v="2025-10-27T00:00:00"/>
    <s v="PO01112502"/>
    <s v="PT Surya Polimer Indonesia"/>
    <x v="2"/>
    <x v="2"/>
    <n v="1850"/>
    <s v="kg"/>
    <d v="2025-11-04T00:00:00"/>
  </r>
  <r>
    <d v="2025-10-27T00:00:00"/>
    <s v="PO01112503"/>
    <s v="PT Global Recycle Industry"/>
    <x v="5"/>
    <x v="5"/>
    <n v="3020"/>
    <s v="kg"/>
    <d v="2025-11-04T00:00:00"/>
  </r>
  <r>
    <d v="2025-10-28T00:00:00"/>
    <s v="PO02112501"/>
    <s v="PT Indo Plastik Mandiri"/>
    <x v="3"/>
    <x v="3"/>
    <n v="1750"/>
    <s v="kg"/>
    <d v="2025-11-05T00:00:00"/>
  </r>
  <r>
    <d v="2025-10-28T00:00:00"/>
    <s v="PO02112502"/>
    <s v="PT Cahaya Plastik Abadi"/>
    <x v="1"/>
    <x v="1"/>
    <n v="2640"/>
    <s v="kg"/>
    <d v="2025-11-05T00:00:00"/>
  </r>
  <r>
    <d v="2025-10-29T00:00:00"/>
    <s v="PO03112501"/>
    <s v="PT Mitra Plastik Nusantara"/>
    <x v="4"/>
    <x v="4"/>
    <n v="3200"/>
    <s v="kg"/>
    <d v="2025-11-06T00:00:00"/>
  </r>
  <r>
    <d v="2025-10-29T00:00:00"/>
    <s v="PO03112502"/>
    <s v="PT Bintang Daur Ulang"/>
    <x v="6"/>
    <x v="6"/>
    <n v="1450"/>
    <s v="kg"/>
    <d v="2025-11-06T00:00:00"/>
  </r>
  <r>
    <d v="2025-10-30T00:00:00"/>
    <s v="PO04112501"/>
    <s v="PT Surya Polimer Indonesia"/>
    <x v="7"/>
    <x v="7"/>
    <n v="2860"/>
    <s v="kg"/>
    <d v="2025-11-07T00:00:00"/>
  </r>
  <r>
    <d v="2025-10-30T00:00:00"/>
    <s v="PO04112502"/>
    <s v="PT Maju Jaya Plastik"/>
    <x v="0"/>
    <x v="0"/>
    <n v="1950"/>
    <s v="kg"/>
    <d v="2025-11-07T00:00:00"/>
  </r>
  <r>
    <d v="2025-10-31T00:00:00"/>
    <s v="PO05112501"/>
    <s v="PT Indo Plastik Mandiri"/>
    <x v="8"/>
    <x v="8"/>
    <n v="2410"/>
    <s v="kg"/>
    <d v="2025-11-08T00:00:00"/>
  </r>
  <r>
    <d v="2025-11-01T00:00:00"/>
    <s v="PO06112501"/>
    <s v="PT Cahaya Plastik Abadi"/>
    <x v="10"/>
    <x v="10"/>
    <n v="3560"/>
    <s v="kg"/>
    <d v="2025-11-09T00:00:00"/>
  </r>
  <r>
    <d v="2025-11-02T00:00:00"/>
    <s v="PO07112501"/>
    <s v="PT Global Recycle Industry"/>
    <x v="3"/>
    <x v="3"/>
    <n v="2980"/>
    <s v="kg"/>
    <d v="2025-11-10T00:00:00"/>
  </r>
  <r>
    <d v="2025-11-03T00:00:00"/>
    <s v="PO08112501"/>
    <s v="PT Mitra Plastik Nusantara"/>
    <x v="2"/>
    <x v="2"/>
    <n v="2100"/>
    <s v="kg"/>
    <d v="2025-11-11T00:00:00"/>
  </r>
  <r>
    <d v="2025-11-04T00:00:00"/>
    <s v="PO09112501"/>
    <s v="PT Surya Polimer Indonesia"/>
    <x v="1"/>
    <x v="1"/>
    <n v="3300"/>
    <s v="kg"/>
    <d v="2025-11-12T00:00:00"/>
  </r>
  <r>
    <d v="2025-11-05T00:00:00"/>
    <s v="PO10112501"/>
    <s v="PT Indo Plastik Mandiri"/>
    <x v="5"/>
    <x v="5"/>
    <n v="1840"/>
    <s v="kg"/>
    <d v="2025-11-13T00:00:00"/>
  </r>
  <r>
    <d v="2025-11-06T00:00:00"/>
    <s v="PO11112501"/>
    <s v="PT Bintang Daur Ulang"/>
    <x v="6"/>
    <x v="6"/>
    <n v="1560"/>
    <s v="kg"/>
    <d v="2025-11-14T00:00:00"/>
  </r>
  <r>
    <d v="2025-11-07T00:00:00"/>
    <s v="PO12112501"/>
    <s v="PT Cahaya Plastik Abadi"/>
    <x v="4"/>
    <x v="4"/>
    <n v="2890"/>
    <s v="kg"/>
    <d v="2025-11-15T00:00:00"/>
  </r>
  <r>
    <d v="2025-11-08T00:00:00"/>
    <s v="PO13112501"/>
    <s v="PT Global Recycle Industry"/>
    <x v="10"/>
    <x v="10"/>
    <n v="3620"/>
    <s v="kg"/>
    <d v="2025-11-16T00:00:00"/>
  </r>
  <r>
    <d v="2025-11-09T00:00:00"/>
    <s v="PO14112501"/>
    <s v="PT Maju Jaya Plastik"/>
    <x v="0"/>
    <x v="0"/>
    <n v="2740"/>
    <s v="kg"/>
    <d v="2025-11-17T00:00:00"/>
  </r>
  <r>
    <d v="2025-11-10T00:00:00"/>
    <s v="PO15112501"/>
    <s v="PT Mitra Plastik Nusantara"/>
    <x v="3"/>
    <x v="3"/>
    <n v="1990"/>
    <s v="kg"/>
    <d v="2025-11-18T00:00:00"/>
  </r>
  <r>
    <d v="2025-11-11T00:00:00"/>
    <s v="PO16112501"/>
    <s v="PT Surya Polimer Indonesia"/>
    <x v="7"/>
    <x v="7"/>
    <n v="3050"/>
    <s v="kg"/>
    <d v="2025-11-19T00:00:00"/>
  </r>
  <r>
    <d v="2025-11-12T00:00:00"/>
    <s v="PO17112501"/>
    <s v="PT Indo Plastik Mandiri"/>
    <x v="2"/>
    <x v="2"/>
    <n v="2480"/>
    <s v="kg"/>
    <d v="2025-11-20T00:00:00"/>
  </r>
  <r>
    <d v="2025-11-13T00:00:00"/>
    <s v="PO18112501"/>
    <s v="PT Bintang Daur Ulang"/>
    <x v="9"/>
    <x v="9"/>
    <n v="1670"/>
    <s v="kg"/>
    <d v="2025-11-21T00:00:00"/>
  </r>
  <r>
    <d v="2025-11-14T00:00:00"/>
    <s v="PO19112501"/>
    <s v="PT Cahaya Plastik Abadi"/>
    <x v="8"/>
    <x v="8"/>
    <n v="2230"/>
    <s v="kg"/>
    <d v="2025-11-22T00:00:00"/>
  </r>
  <r>
    <d v="2025-11-15T00:00:00"/>
    <s v="PO20112501"/>
    <s v="PT Global Recycle Industry"/>
    <x v="5"/>
    <x v="5"/>
    <n v="2870"/>
    <s v="kg"/>
    <d v="2025-11-23T00:00:00"/>
  </r>
  <r>
    <d v="2025-11-16T00:00:00"/>
    <s v="PO21112501"/>
    <s v="PT Mitra Plastik Nusantara"/>
    <x v="0"/>
    <x v="0"/>
    <n v="3120"/>
    <s v="kg"/>
    <d v="2025-11-24T00:00:00"/>
  </r>
  <r>
    <d v="2025-11-26T00:00:00"/>
    <s v="PO01122501"/>
    <s v="PT Maju Jaya Plastik"/>
    <x v="0"/>
    <x v="0"/>
    <n v="1850"/>
    <s v="kg"/>
    <d v="2025-12-03T00:00:00"/>
  </r>
  <r>
    <d v="2025-11-26T00:00:00"/>
    <s v="PO01122502"/>
    <s v="PT Surya Polimer Indonesia"/>
    <x v="1"/>
    <x v="1"/>
    <n v="2950"/>
    <s v="kg"/>
    <d v="2025-12-04T00:00:00"/>
  </r>
  <r>
    <d v="2025-11-26T00:00:00"/>
    <s v="PO01122503"/>
    <s v="PT Mitra Plastik Nusantara"/>
    <x v="2"/>
    <x v="2"/>
    <n v="2100"/>
    <s v="kg"/>
    <d v="2025-12-04T00:00:00"/>
  </r>
  <r>
    <d v="2025-11-27T00:00:00"/>
    <s v="PO02122501"/>
    <s v="PT Global Recycle Industry"/>
    <x v="3"/>
    <x v="3"/>
    <n v="1740"/>
    <s v="kg"/>
    <d v="2025-12-05T00:00:00"/>
  </r>
  <r>
    <d v="2025-11-27T00:00:00"/>
    <s v="PO02122502"/>
    <s v="PT Indo Plastik Mandiri"/>
    <x v="4"/>
    <x v="4"/>
    <n v="2600"/>
    <s v="kg"/>
    <d v="2025-12-05T00:00:00"/>
  </r>
  <r>
    <d v="2025-11-28T00:00:00"/>
    <s v="PO03122501"/>
    <s v="PT Cahaya Plastik Abadi"/>
    <x v="5"/>
    <x v="5"/>
    <n v="3250"/>
    <s v="kg"/>
    <d v="2025-12-06T00:00:00"/>
  </r>
  <r>
    <d v="2025-11-28T00:00:00"/>
    <s v="PO03122502"/>
    <s v="PT Bintang Daur Ulang"/>
    <x v="6"/>
    <x v="6"/>
    <n v="1480"/>
    <s v="kg"/>
    <d v="2025-12-06T00:00:00"/>
  </r>
  <r>
    <d v="2025-11-29T00:00:00"/>
    <s v="PO04122501"/>
    <s v="PT Maju Jaya Plastik"/>
    <x v="7"/>
    <x v="7"/>
    <n v="2100"/>
    <s v="kg"/>
    <d v="2025-12-07T00:00:00"/>
  </r>
  <r>
    <d v="2025-11-29T00:00:00"/>
    <s v="PO04122502"/>
    <s v="PT Surya Polimer Indonesia"/>
    <x v="0"/>
    <x v="0"/>
    <n v="3320"/>
    <s v="kg"/>
    <d v="2025-12-07T00:00:00"/>
  </r>
  <r>
    <d v="2025-11-30T00:00:00"/>
    <s v="PO05122501"/>
    <s v="PT Mitra Plastik Nusantara"/>
    <x v="8"/>
    <x v="8"/>
    <n v="2550"/>
    <s v="kg"/>
    <d v="2025-12-08T00:00:00"/>
  </r>
  <r>
    <d v="2025-11-30T00:00:00"/>
    <s v="PO05122502"/>
    <s v="PT Global Recycle Industry"/>
    <x v="3"/>
    <x v="3"/>
    <n v="3780"/>
    <s v="kg"/>
    <d v="2025-12-08T00:00:00"/>
  </r>
  <r>
    <d v="2025-12-01T00:00:00"/>
    <s v="PO06122501"/>
    <s v="PT Indo Plastik Mandiri"/>
    <x v="10"/>
    <x v="10"/>
    <n v="3150"/>
    <s v="kg"/>
    <d v="2025-12-09T00:00:00"/>
  </r>
  <r>
    <d v="2025-12-01T00:00:00"/>
    <s v="PO06122502"/>
    <s v="PT Cahaya Plastik Abadi"/>
    <x v="1"/>
    <x v="1"/>
    <n v="2890"/>
    <s v="kg"/>
    <d v="2025-12-09T00:00:00"/>
  </r>
  <r>
    <d v="2025-12-02T00:00:00"/>
    <s v="PO07122501"/>
    <s v="PT Bintang Daur Ulang"/>
    <x v="2"/>
    <x v="2"/>
    <n v="1940"/>
    <s v="kg"/>
    <d v="2025-12-10T00:00:00"/>
  </r>
  <r>
    <d v="2025-12-03T00:00:00"/>
    <s v="PO08122501"/>
    <s v="PT Maju Jaya Plastik"/>
    <x v="0"/>
    <x v="0"/>
    <n v="3500"/>
    <s v="kg"/>
    <d v="2025-12-11T00:00:00"/>
  </r>
  <r>
    <d v="2025-12-04T00:00:00"/>
    <s v="PO09122501"/>
    <s v="PT Surya Polimer Indonesia"/>
    <x v="7"/>
    <x v="7"/>
    <n v="2250"/>
    <s v="kg"/>
    <d v="2025-12-12T00:00:00"/>
  </r>
  <r>
    <d v="2025-12-05T00:00:00"/>
    <s v="PO10122501"/>
    <s v="PT Mitra Plastik Nusantara"/>
    <x v="4"/>
    <x v="4"/>
    <n v="2730"/>
    <s v="kg"/>
    <d v="2025-12-13T00:00:00"/>
  </r>
  <r>
    <d v="2025-12-06T00:00:00"/>
    <s v="PO11122501"/>
    <s v="PT Global Recycle Industry"/>
    <x v="6"/>
    <x v="6"/>
    <n v="1650"/>
    <s v="kg"/>
    <d v="2025-12-14T00:00:00"/>
  </r>
  <r>
    <d v="2025-12-07T00:00:00"/>
    <s v="PO12122501"/>
    <s v="PT Indo Plastik Mandiri"/>
    <x v="5"/>
    <x v="5"/>
    <n v="3080"/>
    <s v="kg"/>
    <d v="2025-12-15T00:00:00"/>
  </r>
  <r>
    <d v="2025-12-08T00:00:00"/>
    <s v="PO13122501"/>
    <s v="PT Cahaya Plastik Abadi"/>
    <x v="8"/>
    <x v="8"/>
    <n v="2420"/>
    <s v="kg"/>
    <d v="2025-12-16T00:00:00"/>
  </r>
  <r>
    <d v="2025-12-09T00:00:00"/>
    <s v="PO14122501"/>
    <s v="PT Bintang Daur Ulang"/>
    <x v="10"/>
    <x v="10"/>
    <n v="3340"/>
    <s v="kg"/>
    <d v="2025-12-17T00:00:00"/>
  </r>
  <r>
    <d v="2025-12-10T00:00:00"/>
    <s v="PO15122501"/>
    <s v="PT Maju Jaya Plastik"/>
    <x v="3"/>
    <x v="3"/>
    <n v="2870"/>
    <s v="kg"/>
    <d v="2025-12-18T00:00:00"/>
  </r>
  <r>
    <d v="2025-12-11T00:00:00"/>
    <s v="PO16122501"/>
    <s v="PT Surya Polimer Indonesia"/>
    <x v="0"/>
    <x v="0"/>
    <n v="3620"/>
    <s v="kg"/>
    <d v="2025-12-19T00:00:00"/>
  </r>
  <r>
    <d v="2025-12-12T00:00:00"/>
    <s v="PO17122501"/>
    <s v="PT Mitra Plastik Nusantara"/>
    <x v="2"/>
    <x v="2"/>
    <n v="2080"/>
    <s v="kg"/>
    <d v="2025-12-20T00:00:00"/>
  </r>
  <r>
    <d v="2025-12-13T00:00:00"/>
    <s v="PO18122501"/>
    <s v="PT Global Recycle Industry"/>
    <x v="7"/>
    <x v="7"/>
    <n v="2310"/>
    <s v="kg"/>
    <d v="2025-12-21T00:00:00"/>
  </r>
  <r>
    <d v="2025-12-14T00:00:00"/>
    <s v="PO19122501"/>
    <s v="PT Indo Plastik Mandiri"/>
    <x v="1"/>
    <x v="1"/>
    <n v="2980"/>
    <s v="kg"/>
    <d v="2025-12-22T00:00:00"/>
  </r>
  <r>
    <d v="2025-12-15T00:00:00"/>
    <s v="PO20122501"/>
    <s v="PT Cahaya Plastik Abadi"/>
    <x v="4"/>
    <x v="4"/>
    <n v="2750"/>
    <s v="kg"/>
    <d v="2025-12-23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">
  <r>
    <s v="DO030125001"/>
    <d v="2025-01-03T00:00:00"/>
    <s v="PO01012501"/>
    <x v="0"/>
    <s v="BP001"/>
    <s v="PET Clear Flakes"/>
    <n v="1205"/>
    <s v="kg"/>
  </r>
  <r>
    <s v="DO040125002"/>
    <d v="2025-01-04T00:00:00"/>
    <s v="PO01012502"/>
    <x v="1"/>
    <s v="BP002"/>
    <s v="PET Blue Flakes"/>
    <n v="3015"/>
    <s v="kg"/>
  </r>
  <r>
    <s v="DO050125003"/>
    <d v="2025-01-05T00:00:00"/>
    <s v="PO02012501"/>
    <x v="2"/>
    <s v="BP003"/>
    <s v="HDPE Natural Flakes"/>
    <n v="2150"/>
    <s v="kg"/>
  </r>
  <r>
    <s v="DO050125004"/>
    <d v="2025-01-05T00:00:00"/>
    <s v="PO02012502"/>
    <x v="3"/>
    <s v="BP004"/>
    <s v="HDPE Mixed Color Flakes"/>
    <n v="1890"/>
    <s v="kg"/>
  </r>
  <r>
    <s v="DO060125005"/>
    <d v="2025-01-06T00:00:00"/>
    <s v="PO03012501"/>
    <x v="4"/>
    <s v="BP005"/>
    <s v="PP Injection Flakes"/>
    <n v="2750"/>
    <s v="kg"/>
  </r>
  <r>
    <s v="DO070125006"/>
    <d v="2025-01-07T00:00:00"/>
    <s v="PO03012502"/>
    <x v="5"/>
    <s v="BP006"/>
    <s v="PET Green Flakes"/>
    <n v="3320"/>
    <s v="kg"/>
  </r>
  <r>
    <s v="DO070125007"/>
    <d v="2025-01-07T00:00:00"/>
    <s v="PO04012501"/>
    <x v="6"/>
    <s v="BP007"/>
    <s v="HDPE Blue Drum Flakes"/>
    <n v="1450"/>
    <s v="kg"/>
  </r>
  <r>
    <s v="DO080125008"/>
    <d v="2025-01-08T00:00:00"/>
    <s v="PO04012502"/>
    <x v="0"/>
    <s v="BP008"/>
    <s v="PET Mixed Color Flakes"/>
    <n v="2100"/>
    <s v="kg"/>
  </r>
  <r>
    <s v="DO090125009"/>
    <d v="2025-01-09T00:00:00"/>
    <s v="PO05012501"/>
    <x v="1"/>
    <s v="BP009"/>
    <s v="PP White Flakes"/>
    <n v="3980"/>
    <s v="kg"/>
  </r>
  <r>
    <s v="DO100125010"/>
    <d v="2025-01-10T00:00:00"/>
    <s v="PO06012501"/>
    <x v="2"/>
    <s v="BP010"/>
    <s v="HDPE Bottle Cap Flakes"/>
    <n v="2560"/>
    <s v="kg"/>
  </r>
  <r>
    <s v="DO110125011"/>
    <d v="2025-01-11T00:00:00"/>
    <s v="PO07012501"/>
    <x v="3"/>
    <s v="BP011"/>
    <s v="PET Hot Washed Flakes"/>
    <n v="3175"/>
    <s v="kg"/>
  </r>
  <r>
    <s v="DO120125012"/>
    <d v="2025-01-12T00:00:00"/>
    <s v="PO08012501"/>
    <x v="4"/>
    <s v="BP001"/>
    <s v="PET Clear Flakes"/>
    <n v="1875"/>
    <s v="kg"/>
  </r>
  <r>
    <s v="DO130125013"/>
    <d v="2025-01-13T00:00:00"/>
    <s v="PO09012501"/>
    <x v="5"/>
    <s v="BP002"/>
    <s v="PET Blue Flakes"/>
    <n v="2250"/>
    <s v="kg"/>
  </r>
  <r>
    <s v="DO140125014"/>
    <d v="2025-01-14T00:00:00"/>
    <s v="PO10012501"/>
    <x v="6"/>
    <s v="BP003"/>
    <s v="HDPE Natural Flakes"/>
    <n v="1650"/>
    <s v="kg"/>
  </r>
  <r>
    <s v="DO150125015"/>
    <d v="2025-01-15T00:00:00"/>
    <s v="PO11012501"/>
    <x v="0"/>
    <s v="BP004"/>
    <s v="HDPE Mixed Color Flakes"/>
    <n v="2890"/>
    <s v="kg"/>
  </r>
  <r>
    <s v="DO160125016"/>
    <d v="2025-01-16T00:00:00"/>
    <s v="PO12012501"/>
    <x v="1"/>
    <s v="BP005"/>
    <s v="PP Injection Flakes"/>
    <n v="3200"/>
    <s v="kg"/>
  </r>
  <r>
    <s v="DO170125017"/>
    <d v="2025-01-17T00:00:00"/>
    <s v="PO13012501"/>
    <x v="2"/>
    <s v="BP006"/>
    <s v="PET Green Flakes"/>
    <n v="1425"/>
    <s v="kg"/>
  </r>
  <r>
    <s v="DO180125018"/>
    <d v="2025-01-18T00:00:00"/>
    <s v="PO14012501"/>
    <x v="3"/>
    <s v="BP007"/>
    <s v="HDPE Blue Drum Flakes"/>
    <n v="2780"/>
    <s v="kg"/>
  </r>
  <r>
    <s v="DO190125019"/>
    <d v="2025-01-19T00:00:00"/>
    <s v="PO15012501"/>
    <x v="4"/>
    <s v="BP008"/>
    <s v="PET Mixed Color Flakes"/>
    <n v="3340"/>
    <s v="kg"/>
  </r>
  <r>
    <s v="DO200125020"/>
    <d v="2025-01-20T00:00:00"/>
    <s v="PO16012501"/>
    <x v="5"/>
    <s v="BP009"/>
    <s v="PP White Flakes"/>
    <n v="2450"/>
    <s v="kg"/>
  </r>
  <r>
    <s v="DO220125021"/>
    <d v="2025-01-22T00:00:00"/>
    <s v="PO18012501"/>
    <x v="6"/>
    <s v="BP010"/>
    <s v="HDPE Bottle Cap Flakes"/>
    <n v="1870"/>
    <s v="kg"/>
  </r>
  <r>
    <s v="DO240125022"/>
    <d v="2025-01-24T00:00:00"/>
    <s v="PO20012501"/>
    <x v="0"/>
    <s v="BP011"/>
    <s v="PET Hot Washed Flakes"/>
    <n v="2990"/>
    <s v="kg"/>
  </r>
  <r>
    <s v="DO260125023"/>
    <d v="2025-01-26T00:00:00"/>
    <s v="PO23012501"/>
    <x v="1"/>
    <s v="BP002"/>
    <s v="PET Blue Flakes"/>
    <n v="2150"/>
    <s v="kg"/>
  </r>
  <r>
    <s v="DO290125024"/>
    <d v="2025-01-29T00:00:00"/>
    <s v="PO26012501"/>
    <x v="2"/>
    <s v="BP003"/>
    <s v="HDPE Natural Flakes"/>
    <n v="1980"/>
    <s v="kg"/>
  </r>
  <r>
    <s v="DO010225001"/>
    <d v="2025-02-01T00:00:00"/>
    <s v="PO29012501"/>
    <x v="3"/>
    <s v="BP004"/>
    <s v="HDPE Mixed Color Flakes"/>
    <n v="3100"/>
    <s v="kg"/>
  </r>
  <r>
    <s v="DO030225002"/>
    <d v="2025-02-03T00:00:00"/>
    <s v="PO01022501"/>
    <x v="0"/>
    <s v="BP001"/>
    <s v="PET Clear Flakes"/>
    <n v="2400"/>
    <s v="kg"/>
  </r>
  <r>
    <s v="DO040225003"/>
    <d v="2025-02-04T00:00:00"/>
    <s v="PO01022502"/>
    <x v="1"/>
    <s v="BP003"/>
    <s v="HDPE Natural Flakes"/>
    <n v="1850"/>
    <s v="kg"/>
  </r>
  <r>
    <s v="DO050225004"/>
    <d v="2025-02-05T00:00:00"/>
    <s v="PO01022503"/>
    <x v="3"/>
    <s v="BP002"/>
    <s v="PET Blue Flakes"/>
    <n v="3150"/>
    <s v="kg"/>
  </r>
  <r>
    <s v="DO050225005"/>
    <d v="2025-02-05T00:00:00"/>
    <s v="PO02022501"/>
    <x v="4"/>
    <s v="BP005"/>
    <s v="PP Injection Flakes"/>
    <n v="2950"/>
    <s v="kg"/>
  </r>
  <r>
    <s v="DO060225006"/>
    <d v="2025-02-06T00:00:00"/>
    <s v="PO02022502"/>
    <x v="5"/>
    <s v="BP006"/>
    <s v="PET Green Flakes"/>
    <n v="1700"/>
    <s v="kg"/>
  </r>
  <r>
    <s v="DO060225007"/>
    <d v="2025-02-06T00:00:00"/>
    <s v="PO03022501"/>
    <x v="2"/>
    <s v="BP004"/>
    <s v="HDPE Mixed Color Flakes"/>
    <n v="2650"/>
    <s v="kg"/>
  </r>
  <r>
    <s v="DO070225008"/>
    <d v="2025-02-07T00:00:00"/>
    <s v="PO03022502"/>
    <x v="6"/>
    <s v="BP007"/>
    <s v="HDPE Blue Drum Flakes"/>
    <n v="1425"/>
    <s v="kg"/>
  </r>
  <r>
    <s v="DO070225009"/>
    <d v="2025-02-07T00:00:00"/>
    <s v="PO04022501"/>
    <x v="1"/>
    <s v="BP008"/>
    <s v="PET Mixed Color Flakes"/>
    <n v="3350"/>
    <s v="kg"/>
  </r>
  <r>
    <s v="DO080225010"/>
    <d v="2025-02-08T00:00:00"/>
    <s v="PO04022502"/>
    <x v="0"/>
    <s v="BP001"/>
    <s v="PET Clear Flakes"/>
    <n v="2100"/>
    <s v="kg"/>
  </r>
  <r>
    <s v="DO080225011"/>
    <d v="2025-02-08T00:00:00"/>
    <s v="PO05022501"/>
    <x v="3"/>
    <s v="BP011"/>
    <s v="PET Hot Washed Flakes"/>
    <n v="3900"/>
    <s v="kg"/>
  </r>
  <r>
    <s v="DO090225012"/>
    <d v="2025-02-09T00:00:00"/>
    <s v="PO05022502"/>
    <x v="4"/>
    <s v="BP009"/>
    <s v="PP White Flakes"/>
    <n v="2500"/>
    <s v="kg"/>
  </r>
  <r>
    <s v="DO090225013"/>
    <d v="2025-02-09T00:00:00"/>
    <s v="PO06022501"/>
    <x v="5"/>
    <s v="BP003"/>
    <s v="HDPE Natural Flakes"/>
    <n v="1780"/>
    <s v="kg"/>
  </r>
  <r>
    <s v="DO100225014"/>
    <d v="2025-02-10T00:00:00"/>
    <s v="PO06022502"/>
    <x v="2"/>
    <s v="BP002"/>
    <s v="PET Blue Flakes"/>
    <n v="3200"/>
    <s v="kg"/>
  </r>
  <r>
    <s v="DO100225015"/>
    <d v="2025-02-10T00:00:00"/>
    <s v="PO07022501"/>
    <x v="1"/>
    <s v="BP001"/>
    <s v="PET Clear Flakes"/>
    <n v="2980"/>
    <s v="kg"/>
  </r>
  <r>
    <s v="DO110225016"/>
    <d v="2025-02-11T00:00:00"/>
    <s v="PO07022502"/>
    <x v="6"/>
    <s v="BP004"/>
    <s v="HDPE Mixed Color Flakes"/>
    <n v="2300"/>
    <s v="kg"/>
  </r>
  <r>
    <s v="DO110225017"/>
    <d v="2025-02-11T00:00:00"/>
    <s v="PO08022501"/>
    <x v="3"/>
    <s v="BP006"/>
    <s v="PET Green Flakes"/>
    <n v="3100"/>
    <s v="kg"/>
  </r>
  <r>
    <s v="DO120225018"/>
    <d v="2025-02-12T00:00:00"/>
    <s v="PO08022502"/>
    <x v="0"/>
    <s v="BP010"/>
    <s v="HDPE Bottle Cap Flakes"/>
    <n v="1600"/>
    <s v="kg"/>
  </r>
  <r>
    <s v="DO120225019"/>
    <d v="2025-02-12T00:00:00"/>
    <s v="PO09022501"/>
    <x v="4"/>
    <s v="BP005"/>
    <s v="PP Injection Flakes"/>
    <n v="2750"/>
    <s v="kg"/>
  </r>
  <r>
    <s v="DO130225020"/>
    <d v="2025-02-13T00:00:00"/>
    <s v="PO10022501"/>
    <x v="1"/>
    <s v="BP011"/>
    <s v="PET Hot Washed Flakes"/>
    <n v="3550"/>
    <s v="kg"/>
  </r>
  <r>
    <s v="DO130225021"/>
    <d v="2025-02-13T00:00:00"/>
    <s v="PO10022502"/>
    <x v="5"/>
    <s v="BP002"/>
    <s v="PET Blue Flakes"/>
    <n v="2900"/>
    <s v="kg"/>
  </r>
  <r>
    <s v="DO140225022"/>
    <d v="2025-02-14T00:00:00"/>
    <s v="PO11022501"/>
    <x v="2"/>
    <s v="BP009"/>
    <s v="PP White Flakes"/>
    <n v="2600"/>
    <s v="kg"/>
  </r>
  <r>
    <s v="DO150225023"/>
    <d v="2025-02-15T00:00:00"/>
    <s v="PO12022501"/>
    <x v="3"/>
    <s v="BP004"/>
    <s v="HDPE Mixed Color Flakes"/>
    <n v="3450"/>
    <s v="kg"/>
  </r>
  <r>
    <s v="DO160225024"/>
    <d v="2025-02-16T00:00:00"/>
    <s v="PO13022501"/>
    <x v="6"/>
    <s v="BP007"/>
    <s v="HDPE Blue Drum Flakes"/>
    <n v="1750"/>
    <s v="kg"/>
  </r>
  <r>
    <s v="DO170225025"/>
    <d v="2025-02-17T00:00:00"/>
    <s v="PO14022501"/>
    <x v="4"/>
    <s v="BP008"/>
    <s v="PET Mixed Color Flakes"/>
    <n v="3050"/>
    <s v="kg"/>
  </r>
  <r>
    <s v="DO180225026"/>
    <d v="2025-02-18T00:00:00"/>
    <s v="PO15022501"/>
    <x v="0"/>
    <s v="BP001"/>
    <s v="PET Clear Flakes"/>
    <n v="2850"/>
    <s v="kg"/>
  </r>
  <r>
    <s v="DO030325001"/>
    <d v="2025-03-03T00:00:00"/>
    <s v="PO01032501"/>
    <x v="0"/>
    <s v="BP001"/>
    <s v="PET Clear Flakes"/>
    <n v="2100"/>
    <s v="kg"/>
  </r>
  <r>
    <s v="DO040325002"/>
    <d v="2025-03-04T00:00:00"/>
    <s v="PO01032502"/>
    <x v="1"/>
    <s v="BP002"/>
    <s v="PET Blue Flakes"/>
    <n v="3200"/>
    <s v="kg"/>
  </r>
  <r>
    <s v="DO050325003"/>
    <d v="2025-03-05T00:00:00"/>
    <s v="PO02032501"/>
    <x v="2"/>
    <s v="BP003"/>
    <s v="HDPE Natural Flakes"/>
    <n v="1850"/>
    <s v="kg"/>
  </r>
  <r>
    <s v="DO060325004"/>
    <d v="2025-03-06T00:00:00"/>
    <s v="PO03032501"/>
    <x v="3"/>
    <s v="BP004"/>
    <s v="HDPE Mixed Color Flakes"/>
    <n v="2400"/>
    <s v="kg"/>
  </r>
  <r>
    <s v="DO060325005"/>
    <d v="2025-03-06T00:00:00"/>
    <s v="PO03032502"/>
    <x v="4"/>
    <s v="BP005"/>
    <s v="PP Injection Flakes"/>
    <n v="2950"/>
    <s v="kg"/>
  </r>
  <r>
    <s v="DO070325006"/>
    <d v="2025-03-07T00:00:00"/>
    <s v="PO04032501"/>
    <x v="5"/>
    <s v="BP006"/>
    <s v="PET Green Flakes"/>
    <n v="3100"/>
    <s v="kg"/>
  </r>
  <r>
    <s v="DO080325007"/>
    <d v="2025-03-08T00:00:00"/>
    <s v="PO05032501"/>
    <x v="6"/>
    <s v="BP007"/>
    <s v="HDPE Blue Drum Flakes"/>
    <n v="1500"/>
    <s v="kg"/>
  </r>
  <r>
    <s v="DO080325008"/>
    <d v="2025-03-08T00:00:00"/>
    <s v="PO05032502"/>
    <x v="0"/>
    <s v="BP008"/>
    <s v="PET Mixed Color Flakes"/>
    <n v="2700"/>
    <s v="kg"/>
  </r>
  <r>
    <s v="DO090325009"/>
    <d v="2025-03-09T00:00:00"/>
    <s v="PO06032501"/>
    <x v="1"/>
    <s v="BP009"/>
    <s v="PP White Flakes"/>
    <n v="1980"/>
    <s v="kg"/>
  </r>
  <r>
    <s v="DO100325010"/>
    <d v="2025-03-10T00:00:00"/>
    <s v="PO07032501"/>
    <x v="2"/>
    <s v="BP011"/>
    <s v="PET Hot Washed Flakes"/>
    <n v="3300"/>
    <s v="kg"/>
  </r>
  <r>
    <s v="DO110325011"/>
    <d v="2025-03-11T00:00:00"/>
    <s v="PO08032501"/>
    <x v="3"/>
    <s v="BP001"/>
    <s v="PET Clear Flakes"/>
    <n v="2105"/>
    <s v="kg"/>
  </r>
  <r>
    <s v="DO120325012"/>
    <d v="2025-03-12T00:00:00"/>
    <s v="PO09032501"/>
    <x v="4"/>
    <s v="BP002"/>
    <s v="PET Blue Flakes"/>
    <n v="2870"/>
    <s v="kg"/>
  </r>
  <r>
    <s v="DO130325013"/>
    <d v="2025-03-13T00:00:00"/>
    <s v="PO10032501"/>
    <x v="5"/>
    <s v="BP003"/>
    <s v="HDPE Natural Flakes"/>
    <n v="2200"/>
    <s v="kg"/>
  </r>
  <r>
    <s v="DO140325014"/>
    <d v="2025-03-14T00:00:00"/>
    <s v="PO11032501"/>
    <x v="6"/>
    <s v="BP004"/>
    <s v="HDPE Mixed Color Flakes"/>
    <n v="2500"/>
    <s v="kg"/>
  </r>
  <r>
    <s v="DO150325015"/>
    <d v="2025-03-15T00:00:00"/>
    <s v="PO12032501"/>
    <x v="0"/>
    <s v="BP005"/>
    <s v="PP Injection Flakes"/>
    <n v="3100"/>
    <s v="kg"/>
  </r>
  <r>
    <s v="DO160325016"/>
    <d v="2025-03-16T00:00:00"/>
    <s v="PO13032501"/>
    <x v="1"/>
    <s v="BP006"/>
    <s v="PET Green Flakes"/>
    <n v="2900"/>
    <s v="kg"/>
  </r>
  <r>
    <s v="DO180325017"/>
    <d v="2025-03-18T00:00:00"/>
    <s v="PO15032501"/>
    <x v="2"/>
    <s v="BP007"/>
    <s v="HDPE Blue Drum Flakes"/>
    <n v="1700"/>
    <s v="kg"/>
  </r>
  <r>
    <s v="DO190325018"/>
    <d v="2025-03-19T00:00:00"/>
    <s v="PO16032501"/>
    <x v="3"/>
    <s v="BP008"/>
    <s v="PET Mixed Color Flakes"/>
    <n v="2600"/>
    <s v="kg"/>
  </r>
  <r>
    <s v="DO210325019"/>
    <d v="2025-03-21T00:00:00"/>
    <s v="PO18032501"/>
    <x v="4"/>
    <s v="BP009"/>
    <s v="PP White Flakes"/>
    <n v="2400"/>
    <s v="kg"/>
  </r>
  <r>
    <s v="DO230325020"/>
    <d v="2025-03-23T00:00:00"/>
    <s v="PO20032501"/>
    <x v="5"/>
    <s v="BP001"/>
    <s v="PET Clear Flakes"/>
    <n v="3100"/>
    <s v="kg"/>
  </r>
  <r>
    <s v="DO240325021"/>
    <d v="2025-03-24T00:00:00"/>
    <s v="PO21032501"/>
    <x v="6"/>
    <s v="BP003"/>
    <s v="HDPE Natural Flakes"/>
    <n v="2250"/>
    <s v="kg"/>
  </r>
  <r>
    <s v="DO260325022"/>
    <d v="2025-03-26T00:00:00"/>
    <s v="PO23032501"/>
    <x v="0"/>
    <s v="BP011"/>
    <s v="PET Hot Washed Flakes"/>
    <n v="3450"/>
    <s v="kg"/>
  </r>
  <r>
    <s v="DO280325023"/>
    <d v="2025-03-28T00:00:00"/>
    <s v="PO25032501"/>
    <x v="1"/>
    <s v="BP004"/>
    <s v="HDPE Mixed Color Flakes"/>
    <n v="2800"/>
    <s v="kg"/>
  </r>
  <r>
    <s v="DO300325024"/>
    <d v="2025-03-30T00:00:00"/>
    <s v="PO27032501"/>
    <x v="2"/>
    <s v="BP002"/>
    <s v="PET Blue Flakes"/>
    <n v="2600"/>
    <s v="kg"/>
  </r>
  <r>
    <s v="DO310325025"/>
    <d v="2025-03-31T00:00:00"/>
    <s v="PO29032501"/>
    <x v="3"/>
    <s v="BP005"/>
    <s v="PP Injection Flakes"/>
    <n v="2950"/>
    <s v="kg"/>
  </r>
  <r>
    <s v="DO030425001"/>
    <d v="2025-04-03T00:00:00"/>
    <s v="PO01042501"/>
    <x v="0"/>
    <s v="BP001"/>
    <s v="PET Clear Flakes"/>
    <n v="1850"/>
    <s v="kg"/>
  </r>
  <r>
    <s v="DO040425002"/>
    <d v="2025-04-04T00:00:00"/>
    <s v="PO01042502"/>
    <x v="1"/>
    <s v="BP002"/>
    <s v="PET Blue Flakes"/>
    <n v="2450"/>
    <s v="kg"/>
  </r>
  <r>
    <s v="DO040425003"/>
    <d v="2025-04-04T00:00:00"/>
    <s v="PO01042503"/>
    <x v="3"/>
    <s v="BP003"/>
    <s v="HDPE Natural Flakes"/>
    <n v="2100"/>
    <s v="kg"/>
  </r>
  <r>
    <s v="DO060425004"/>
    <d v="2025-04-06T00:00:00"/>
    <s v="PO03042501"/>
    <x v="2"/>
    <s v="BP004"/>
    <s v="HDPE Mixed Color Flakes"/>
    <n v="1980"/>
    <s v="kg"/>
  </r>
  <r>
    <s v="DO060425005"/>
    <d v="2025-04-06T00:00:00"/>
    <s v="PO03042502"/>
    <x v="4"/>
    <s v="BP005"/>
    <s v="PP Injection Flakes"/>
    <n v="2750"/>
    <s v="kg"/>
  </r>
  <r>
    <s v="DO070425006"/>
    <d v="2025-04-07T00:00:00"/>
    <s v="PO03042503"/>
    <x v="5"/>
    <s v="BP006"/>
    <s v="PET Green Flakes"/>
    <n v="2330"/>
    <s v="kg"/>
  </r>
  <r>
    <s v="DO080425007"/>
    <d v="2025-04-08T00:00:00"/>
    <s v="PO05042501"/>
    <x v="6"/>
    <s v="BP007"/>
    <s v="HDPE Blue Drum Flakes"/>
    <n v="1650"/>
    <s v="kg"/>
  </r>
  <r>
    <s v="DO080425008"/>
    <d v="2025-04-08T00:00:00"/>
    <s v="PO05042502"/>
    <x v="0"/>
    <s v="BP008"/>
    <s v="PET Mixed Color Flakes"/>
    <n v="2890"/>
    <s v="kg"/>
  </r>
  <r>
    <s v="DO090425009"/>
    <d v="2025-04-09T00:00:00"/>
    <s v="PO05042503"/>
    <x v="1"/>
    <s v="BP009"/>
    <s v="PP White Flakes"/>
    <n v="3150"/>
    <s v="kg"/>
  </r>
  <r>
    <s v="DO100425010"/>
    <d v="2025-04-10T00:00:00"/>
    <s v="PO08042501"/>
    <x v="3"/>
    <s v="BP001"/>
    <s v="PET Clear Flakes"/>
    <n v="1990"/>
    <s v="kg"/>
  </r>
  <r>
    <s v="DO110425011"/>
    <d v="2025-04-11T00:00:00"/>
    <s v="PO08042502"/>
    <x v="4"/>
    <s v="BP002"/>
    <s v="PET Blue Flakes"/>
    <n v="2210"/>
    <s v="kg"/>
  </r>
  <r>
    <s v="DO110425012"/>
    <d v="2025-04-11T00:00:00"/>
    <s v="PO08042503"/>
    <x v="2"/>
    <s v="BP010"/>
    <s v="HDPE Bottle Cap Flakes"/>
    <n v="1870"/>
    <s v="kg"/>
  </r>
  <r>
    <s v="DO150425013"/>
    <d v="2025-04-15T00:00:00"/>
    <s v="PO12042501"/>
    <x v="5"/>
    <s v="BP011"/>
    <s v="PET Hot Washed Flakes"/>
    <n v="3200"/>
    <s v="kg"/>
  </r>
  <r>
    <s v="DO150425014"/>
    <d v="2025-04-15T00:00:00"/>
    <s v="PO12042502"/>
    <x v="6"/>
    <s v="BP003"/>
    <s v="HDPE Natural Flakes"/>
    <n v="1780"/>
    <s v="kg"/>
  </r>
  <r>
    <s v="DO160425015"/>
    <d v="2025-04-16T00:00:00"/>
    <s v="PO12042503"/>
    <x v="0"/>
    <s v="BP005"/>
    <s v="PP Injection Flakes"/>
    <n v="2640"/>
    <s v="kg"/>
  </r>
  <r>
    <s v="DO180425016"/>
    <d v="2025-04-18T00:00:00"/>
    <s v="PO15042501"/>
    <x v="1"/>
    <s v="BP008"/>
    <s v="PET Mixed Color Flakes"/>
    <n v="3010"/>
    <s v="kg"/>
  </r>
  <r>
    <s v="DO180425017"/>
    <d v="2025-04-18T00:00:00"/>
    <s v="PO15042502"/>
    <x v="3"/>
    <s v="BP004"/>
    <s v="HDPE Mixed Color Flakes"/>
    <n v="2190"/>
    <s v="kg"/>
  </r>
  <r>
    <s v="DO190425018"/>
    <d v="2025-04-19T00:00:00"/>
    <s v="PO15042503"/>
    <x v="4"/>
    <s v="BP009"/>
    <s v="PP White Flakes"/>
    <n v="2440"/>
    <s v="kg"/>
  </r>
  <r>
    <s v="DO230425019"/>
    <d v="2025-04-23T00:00:00"/>
    <s v="PO20042501"/>
    <x v="2"/>
    <s v="BP006"/>
    <s v="PET Green Flakes"/>
    <n v="2310"/>
    <s v="kg"/>
  </r>
  <r>
    <s v="DO230425020"/>
    <d v="2025-04-23T00:00:00"/>
    <s v="PO20042502"/>
    <x v="5"/>
    <s v="BP001"/>
    <s v="PET Clear Flakes"/>
    <n v="2950"/>
    <s v="kg"/>
  </r>
  <r>
    <s v="DO240425021"/>
    <d v="2025-04-24T00:00:00"/>
    <s v="PO20042503"/>
    <x v="6"/>
    <s v="BP002"/>
    <s v="PET Blue Flakes"/>
    <n v="2075"/>
    <s v="kg"/>
  </r>
  <r>
    <s v="DO270425022"/>
    <d v="2025-04-27T00:00:00"/>
    <s v="PO24042501"/>
    <x v="3"/>
    <s v="BP010"/>
    <s v="HDPE Bottle Cap Flakes"/>
    <n v="1880"/>
    <s v="kg"/>
  </r>
  <r>
    <s v="DO270425023"/>
    <d v="2025-04-27T00:00:00"/>
    <s v="PO24042502"/>
    <x v="4"/>
    <s v="BP003"/>
    <s v="HDPE Natural Flakes"/>
    <n v="2540"/>
    <s v="kg"/>
  </r>
  <r>
    <s v="DO280425024"/>
    <d v="2025-04-28T00:00:00"/>
    <s v="PO24042503"/>
    <x v="1"/>
    <s v="BP011"/>
    <s v="PET Hot Washed Flakes"/>
    <n v="3360"/>
    <s v="kg"/>
  </r>
  <r>
    <s v="DO300425025"/>
    <d v="2025-04-30T00:00:00"/>
    <s v="PO28042501"/>
    <x v="0"/>
    <s v="BP004"/>
    <s v="HDPE Mixed Color Flakes"/>
    <n v="2010"/>
    <s v="kg"/>
  </r>
  <r>
    <s v="DO300425026"/>
    <d v="2025-04-30T00:00:00"/>
    <s v="PO28042502"/>
    <x v="2"/>
    <s v="BP005"/>
    <s v="PP Injection Flakes"/>
    <n v="2675"/>
    <s v="kg"/>
  </r>
  <r>
    <s v="DO010525001"/>
    <d v="2025-05-01T00:00:00"/>
    <s v="PO28042503"/>
    <x v="5"/>
    <s v="BP008"/>
    <s v="PET Mixed Color Flakes"/>
    <n v="2230"/>
    <s v="kg"/>
  </r>
  <r>
    <s v="DO040525002"/>
    <d v="2025-05-04T00:00:00"/>
    <s v="PO01052501"/>
    <x v="0"/>
    <s v="BP001"/>
    <s v="PET Clear Flakes"/>
    <n v="1820"/>
    <s v="kg"/>
  </r>
  <r>
    <s v="DO040525003"/>
    <d v="2025-05-04T00:00:00"/>
    <s v="PO01052502"/>
    <x v="1"/>
    <s v="BP003"/>
    <s v="HDPE Natural Flakes"/>
    <n v="2560"/>
    <s v="kg"/>
  </r>
  <r>
    <s v="DO050525004"/>
    <d v="2025-05-05T00:00:00"/>
    <s v="PO02052501"/>
    <x v="2"/>
    <s v="BP002"/>
    <s v="PET Blue Flakes"/>
    <n v="3100"/>
    <s v="kg"/>
  </r>
  <r>
    <s v="DO060525005"/>
    <d v="2025-05-06T00:00:00"/>
    <s v="PO02052502"/>
    <x v="3"/>
    <s v="BP004"/>
    <s v="HDPE Mixed Color Flakes"/>
    <n v="1450"/>
    <s v="kg"/>
  </r>
  <r>
    <s v="DO070525006"/>
    <d v="2025-05-07T00:00:00"/>
    <s v="PO03052501"/>
    <x v="4"/>
    <s v="BP006"/>
    <s v="PET Green Flakes"/>
    <n v="2280"/>
    <s v="kg"/>
  </r>
  <r>
    <s v="DO070525007"/>
    <d v="2025-05-07T00:00:00"/>
    <s v="PO03052502"/>
    <x v="5"/>
    <s v="BP005"/>
    <s v="PP Injection Flakes"/>
    <n v="2750"/>
    <s v="kg"/>
  </r>
  <r>
    <s v="DO080525008"/>
    <d v="2025-05-08T00:00:00"/>
    <s v="PO04052501"/>
    <x v="6"/>
    <s v="BP007"/>
    <s v="HDPE Blue Drum Flakes"/>
    <n v="1640"/>
    <s v="kg"/>
  </r>
  <r>
    <s v="DO090525009"/>
    <d v="2025-05-09T00:00:00"/>
    <s v="PO05052501"/>
    <x v="0"/>
    <s v="BP008"/>
    <s v="PET Mixed Color Flakes"/>
    <n v="3050"/>
    <s v="kg"/>
  </r>
  <r>
    <s v="DO100525010"/>
    <d v="2025-05-10T00:00:00"/>
    <s v="PO06052501"/>
    <x v="1"/>
    <s v="BP011"/>
    <s v="PET Hot Washed Flakes"/>
    <n v="1980"/>
    <s v="kg"/>
  </r>
  <r>
    <s v="DO110525011"/>
    <d v="2025-05-11T00:00:00"/>
    <s v="PO07052501"/>
    <x v="2"/>
    <s v="BP010"/>
    <s v="HDPE Bottle Cap Flakes"/>
    <n v="2120"/>
    <s v="kg"/>
  </r>
  <r>
    <s v="DO120525012"/>
    <d v="2025-05-12T00:00:00"/>
    <s v="PO08052501"/>
    <x v="3"/>
    <s v="BP002"/>
    <s v="PET Blue Flakes"/>
    <n v="3340"/>
    <s v="kg"/>
  </r>
  <r>
    <s v="DO130525013"/>
    <d v="2025-05-13T00:00:00"/>
    <s v="PO09052501"/>
    <x v="4"/>
    <s v="BP001"/>
    <s v="PET Clear Flakes"/>
    <n v="2890"/>
    <s v="kg"/>
  </r>
  <r>
    <s v="DO140525014"/>
    <d v="2025-05-14T00:00:00"/>
    <s v="PO10052501"/>
    <x v="5"/>
    <s v="BP003"/>
    <s v="HDPE Natural Flakes"/>
    <n v="1570"/>
    <s v="kg"/>
  </r>
  <r>
    <s v="DO150525015"/>
    <d v="2025-05-15T00:00:00"/>
    <s v="PO11052501"/>
    <x v="6"/>
    <s v="BP004"/>
    <s v="HDPE Mixed Color Flakes"/>
    <n v="2210"/>
    <s v="kg"/>
  </r>
  <r>
    <s v="DO160525016"/>
    <d v="2025-05-16T00:00:00"/>
    <s v="PO12052501"/>
    <x v="0"/>
    <s v="BP005"/>
    <s v="PP Injection Flakes"/>
    <n v="3400"/>
    <s v="kg"/>
  </r>
  <r>
    <s v="DO170525017"/>
    <d v="2025-05-17T00:00:00"/>
    <s v="PO13052501"/>
    <x v="1"/>
    <s v="BP006"/>
    <s v="PET Green Flakes"/>
    <n v="2755"/>
    <s v="kg"/>
  </r>
  <r>
    <s v="DO180525018"/>
    <d v="2025-05-18T00:00:00"/>
    <s v="PO14052501"/>
    <x v="2"/>
    <s v="BP011"/>
    <s v="PET Hot Washed Flakes"/>
    <n v="1985"/>
    <s v="kg"/>
  </r>
  <r>
    <s v="DO190525019"/>
    <d v="2025-05-19T00:00:00"/>
    <s v="PO15052501"/>
    <x v="3"/>
    <s v="BP007"/>
    <s v="HDPE Blue Drum Flakes"/>
    <n v="2440"/>
    <s v="kg"/>
  </r>
  <r>
    <s v="DO200525020"/>
    <d v="2025-05-20T00:00:00"/>
    <s v="PO16052501"/>
    <x v="4"/>
    <s v="BP002"/>
    <s v="PET Blue Flakes"/>
    <n v="3110"/>
    <s v="kg"/>
  </r>
  <r>
    <s v="DO210525021"/>
    <d v="2025-05-21T00:00:00"/>
    <s v="PO17052501"/>
    <x v="5"/>
    <s v="BP001"/>
    <s v="PET Clear Flakes"/>
    <n v="2680"/>
    <s v="kg"/>
  </r>
  <r>
    <s v="DO220525022"/>
    <d v="2025-05-22T00:00:00"/>
    <s v="PO18052501"/>
    <x v="6"/>
    <s v="BP008"/>
    <s v="PET Mixed Color Flakes"/>
    <n v="1870"/>
    <s v="kg"/>
  </r>
  <r>
    <s v="DO230525023"/>
    <d v="2025-05-23T00:00:00"/>
    <s v="PO19052501"/>
    <x v="0"/>
    <s v="BP003"/>
    <s v="HDPE Natural Flakes"/>
    <n v="2330"/>
    <s v="kg"/>
  </r>
  <r>
    <s v="DO240525024"/>
    <d v="2025-05-24T00:00:00"/>
    <s v="PO20052501"/>
    <x v="1"/>
    <s v="BP010"/>
    <s v="HDPE Bottle Cap Flakes"/>
    <n v="1765"/>
    <s v="kg"/>
  </r>
  <r>
    <s v="DO250525025"/>
    <d v="2025-05-25T00:00:00"/>
    <s v="PO21052501"/>
    <x v="2"/>
    <s v="BP005"/>
    <s v="PP Injection Flakes"/>
    <n v="2950"/>
    <s v="kg"/>
  </r>
  <r>
    <s v="DO260525026"/>
    <d v="2025-05-26T00:00:00"/>
    <s v="PO22052501"/>
    <x v="3"/>
    <s v="BP006"/>
    <s v="PET Green Flakes"/>
    <n v="3210"/>
    <s v="kg"/>
  </r>
  <r>
    <s v="DO270525027"/>
    <d v="2025-05-27T00:00:00"/>
    <s v="PO23052501"/>
    <x v="4"/>
    <s v="BP011"/>
    <s v="PET Hot Washed Flakes"/>
    <n v="2080"/>
    <s v="kg"/>
  </r>
  <r>
    <s v="DO280525028"/>
    <d v="2025-05-28T00:00:00"/>
    <s v="PO24052501"/>
    <x v="5"/>
    <s v="BP004"/>
    <s v="HDPE Mixed Color Flakes"/>
    <n v="2650"/>
    <s v="kg"/>
  </r>
  <r>
    <s v="DO030625001"/>
    <d v="2025-06-03T00:00:00"/>
    <s v="PO01062501"/>
    <x v="0"/>
    <s v="BP001"/>
    <s v="PET Clear Flakes"/>
    <n v="2150"/>
    <s v="kg"/>
  </r>
  <r>
    <s v="DO040625002"/>
    <d v="2025-06-04T00:00:00"/>
    <s v="PO01062502"/>
    <x v="1"/>
    <s v="BP003"/>
    <s v="HDPE Natural Flakes"/>
    <n v="1890"/>
    <s v="kg"/>
  </r>
  <r>
    <s v="DO050625003"/>
    <d v="2025-06-05T00:00:00"/>
    <s v="PO02062501"/>
    <x v="2"/>
    <s v="BP002"/>
    <s v="PET Blue Flakes"/>
    <n v="2750"/>
    <s v="kg"/>
  </r>
  <r>
    <s v="DO060625004"/>
    <d v="2025-06-06T00:00:00"/>
    <s v="PO03062501"/>
    <x v="3"/>
    <s v="BP004"/>
    <s v="HDPE Mixed Color Flakes"/>
    <n v="3025"/>
    <s v="kg"/>
  </r>
  <r>
    <s v="DO070625005"/>
    <d v="2025-06-07T00:00:00"/>
    <s v="PO03062502"/>
    <x v="4"/>
    <s v="BP005"/>
    <s v="PP Injection Flakes"/>
    <n v="1540"/>
    <s v="kg"/>
  </r>
  <r>
    <s v="DO080625006"/>
    <d v="2025-06-08T00:00:00"/>
    <s v="PO04062501"/>
    <x v="5"/>
    <s v="BP006"/>
    <s v="PET Green Flakes"/>
    <n v="3320"/>
    <s v="kg"/>
  </r>
  <r>
    <s v="DO090625007"/>
    <d v="2025-06-09T00:00:00"/>
    <s v="PO05062501"/>
    <x v="6"/>
    <s v="BP007"/>
    <s v="HDPE Blue Drum Flakes"/>
    <n v="1780"/>
    <s v="kg"/>
  </r>
  <r>
    <s v="DO100625008"/>
    <d v="2025-06-10T00:00:00"/>
    <s v="PO06062501"/>
    <x v="0"/>
    <s v="BP008"/>
    <s v="PET Mixed Color Flakes"/>
    <n v="2980"/>
    <s v="kg"/>
  </r>
  <r>
    <s v="DO110625009"/>
    <d v="2025-06-11T00:00:00"/>
    <s v="PO07062501"/>
    <x v="1"/>
    <s v="BP009"/>
    <s v="PP White Flakes"/>
    <n v="2410"/>
    <s v="kg"/>
  </r>
  <r>
    <s v="DO120625010"/>
    <d v="2025-06-12T00:00:00"/>
    <s v="PO08062501"/>
    <x v="2"/>
    <s v="BP011"/>
    <s v="PET Hot Washed Flakes"/>
    <n v="3650"/>
    <s v="kg"/>
  </r>
  <r>
    <s v="DO130625011"/>
    <d v="2025-06-13T00:00:00"/>
    <s v="PO09062501"/>
    <x v="3"/>
    <s v="BP001"/>
    <s v="PET Clear Flakes"/>
    <n v="1875"/>
    <s v="kg"/>
  </r>
  <r>
    <s v="DO140625012"/>
    <d v="2025-06-14T00:00:00"/>
    <s v="PO10062501"/>
    <x v="4"/>
    <s v="BP003"/>
    <s v="HDPE Natural Flakes"/>
    <n v="2100"/>
    <s v="kg"/>
  </r>
  <r>
    <s v="DO150625013"/>
    <d v="2025-06-15T00:00:00"/>
    <s v="PO11062501"/>
    <x v="5"/>
    <s v="BP004"/>
    <s v="HDPE Mixed Color Flakes"/>
    <n v="2990"/>
    <s v="kg"/>
  </r>
  <r>
    <s v="DO160625014"/>
    <d v="2025-06-16T00:00:00"/>
    <s v="PO12062501"/>
    <x v="6"/>
    <s v="BP002"/>
    <s v="PET Blue Flakes"/>
    <n v="2550"/>
    <s v="kg"/>
  </r>
  <r>
    <s v="DO170625015"/>
    <d v="2025-06-17T00:00:00"/>
    <s v="PO13062501"/>
    <x v="0"/>
    <s v="BP006"/>
    <s v="PET Green Flakes"/>
    <n v="3210"/>
    <s v="kg"/>
  </r>
  <r>
    <s v="DO180625016"/>
    <d v="2025-06-18T00:00:00"/>
    <s v="PO14062501"/>
    <x v="1"/>
    <s v="BP005"/>
    <s v="PP Injection Flakes"/>
    <n v="1980"/>
    <s v="kg"/>
  </r>
  <r>
    <s v="DO190625017"/>
    <d v="2025-06-19T00:00:00"/>
    <s v="PO15062501"/>
    <x v="2"/>
    <s v="BP007"/>
    <s v="HDPE Blue Drum Flakes"/>
    <n v="1420"/>
    <s v="kg"/>
  </r>
  <r>
    <s v="DO200625018"/>
    <d v="2025-06-20T00:00:00"/>
    <s v="PO16062501"/>
    <x v="3"/>
    <s v="BP008"/>
    <s v="PET Mixed Color Flakes"/>
    <n v="2890"/>
    <s v="kg"/>
  </r>
  <r>
    <s v="DO210625019"/>
    <d v="2025-06-21T00:00:00"/>
    <s v="PO17062501"/>
    <x v="4"/>
    <s v="BP009"/>
    <s v="PP White Flakes"/>
    <n v="2470"/>
    <s v="kg"/>
  </r>
  <r>
    <s v="DO220625020"/>
    <d v="2025-06-22T00:00:00"/>
    <s v="PO18062501"/>
    <x v="5"/>
    <s v="BP011"/>
    <s v="PET Hot Washed Flakes"/>
    <n v="3750"/>
    <s v="kg"/>
  </r>
  <r>
    <s v="DO230625021"/>
    <d v="2025-06-23T00:00:00"/>
    <s v="PO19062501"/>
    <x v="6"/>
    <s v="BP001"/>
    <s v="PET Clear Flakes"/>
    <n v="2230"/>
    <s v="kg"/>
  </r>
  <r>
    <s v="DO240625022"/>
    <d v="2025-06-24T00:00:00"/>
    <s v="PO20062501"/>
    <x v="0"/>
    <s v="BP003"/>
    <s v="HDPE Natural Flakes"/>
    <n v="2680"/>
    <s v="kg"/>
  </r>
  <r>
    <s v="DO250625023"/>
    <d v="2025-06-25T00:00:00"/>
    <s v="PO21062501"/>
    <x v="1"/>
    <s v="BP004"/>
    <s v="HDPE Mixed Color Flakes"/>
    <n v="3140"/>
    <s v="kg"/>
  </r>
  <r>
    <s v="DO260625024"/>
    <d v="2025-06-26T00:00:00"/>
    <s v="PO22062501"/>
    <x v="2"/>
    <s v="BP006"/>
    <s v="PET Green Flakes"/>
    <n v="2980"/>
    <s v="kg"/>
  </r>
  <r>
    <s v="DO270625025"/>
    <d v="2025-06-27T00:00:00"/>
    <s v="PO23062501"/>
    <x v="3"/>
    <s v="BP005"/>
    <s v="PP Injection Flakes"/>
    <n v="1850"/>
    <s v="kg"/>
  </r>
  <r>
    <s v="DO280625026"/>
    <d v="2025-06-28T00:00:00"/>
    <s v="PO24062501"/>
    <x v="4"/>
    <s v="BP007"/>
    <s v="HDPE Blue Drum Flakes"/>
    <n v="2360"/>
    <s v="kg"/>
  </r>
  <r>
    <s v="DO030725001"/>
    <d v="2025-07-03T00:00:00"/>
    <s v="PO01072501"/>
    <x v="0"/>
    <s v="BP001"/>
    <s v="PET Clear Flakes"/>
    <n v="2450"/>
    <s v="kg"/>
  </r>
  <r>
    <s v="DO040725002"/>
    <d v="2025-07-04T00:00:00"/>
    <s v="PO01072502"/>
    <x v="1"/>
    <s v="BP002"/>
    <s v="PET Blue Flakes"/>
    <n v="3100"/>
    <s v="kg"/>
  </r>
  <r>
    <s v="DO040725003"/>
    <d v="2025-07-04T00:00:00"/>
    <s v="PO01072503"/>
    <x v="2"/>
    <s v="BP003"/>
    <s v="HDPE Natural Flakes"/>
    <n v="1980"/>
    <s v="kg"/>
  </r>
  <r>
    <s v="DO050725004"/>
    <d v="2025-07-05T00:00:00"/>
    <s v="PO02072501"/>
    <x v="3"/>
    <s v="BP004"/>
    <s v="HDPE Mixed Color Flakes"/>
    <n v="2875"/>
    <s v="kg"/>
  </r>
  <r>
    <s v="DO050725005"/>
    <d v="2025-07-05T00:00:00"/>
    <s v="PO02072502"/>
    <x v="4"/>
    <s v="BP005"/>
    <s v="PP Injection Flakes"/>
    <n v="1650"/>
    <s v="kg"/>
  </r>
  <r>
    <s v="DO060725006"/>
    <d v="2025-07-06T00:00:00"/>
    <s v="PO02072503"/>
    <x v="5"/>
    <s v="BP006"/>
    <s v="PET Green Flakes"/>
    <n v="3420"/>
    <s v="kg"/>
  </r>
  <r>
    <s v="DO060725007"/>
    <d v="2025-07-06T00:00:00"/>
    <s v="PO03072501"/>
    <x v="6"/>
    <s v="BP007"/>
    <s v="HDPE Blue Drum Flakes"/>
    <n v="2210"/>
    <s v="kg"/>
  </r>
  <r>
    <s v="DO070725008"/>
    <d v="2025-07-07T00:00:00"/>
    <s v="PO03072502"/>
    <x v="0"/>
    <s v="BP008"/>
    <s v="PET Mixed Color Flakes"/>
    <n v="3150"/>
    <s v="kg"/>
  </r>
  <r>
    <s v="DO070725009"/>
    <d v="2025-07-07T00:00:00"/>
    <s v="PO04072501"/>
    <x v="1"/>
    <s v="BP001"/>
    <s v="PET Clear Flakes"/>
    <n v="1890"/>
    <s v="kg"/>
  </r>
  <r>
    <s v="DO080725010"/>
    <d v="2025-07-08T00:00:00"/>
    <s v="PO04072502"/>
    <x v="2"/>
    <s v="BP003"/>
    <s v="HDPE Natural Flakes"/>
    <n v="2765"/>
    <s v="kg"/>
  </r>
  <r>
    <s v="DO080725011"/>
    <d v="2025-07-08T00:00:00"/>
    <s v="PO04072503"/>
    <x v="3"/>
    <s v="BP010"/>
    <s v="HDPE Bottle Cap Flakes"/>
    <n v="2050"/>
    <s v="kg"/>
  </r>
  <r>
    <s v="DO080725012"/>
    <d v="2025-07-08T00:00:00"/>
    <s v="PO05072501"/>
    <x v="4"/>
    <s v="BP009"/>
    <s v="PP White Flakes"/>
    <n v="2950"/>
    <s v="kg"/>
  </r>
  <r>
    <s v="DO090725013"/>
    <d v="2025-07-09T00:00:00"/>
    <s v="PO05072502"/>
    <x v="5"/>
    <s v="BP002"/>
    <s v="PET Blue Flakes"/>
    <n v="3120"/>
    <s v="kg"/>
  </r>
  <r>
    <s v="DO090725014"/>
    <d v="2025-07-09T00:00:00"/>
    <s v="PO06072501"/>
    <x v="6"/>
    <s v="BP011"/>
    <s v="PET Hot Washed Flakes"/>
    <n v="2550"/>
    <s v="kg"/>
  </r>
  <r>
    <s v="DO100725015"/>
    <d v="2025-07-10T00:00:00"/>
    <s v="PO06072502"/>
    <x v="0"/>
    <s v="BP004"/>
    <s v="HDPE Mixed Color Flakes"/>
    <n v="3400"/>
    <s v="kg"/>
  </r>
  <r>
    <s v="DO100725016"/>
    <d v="2025-07-10T00:00:00"/>
    <s v="PO07072501"/>
    <x v="1"/>
    <s v="BP001"/>
    <s v="PET Clear Flakes"/>
    <n v="2750"/>
    <s v="kg"/>
  </r>
  <r>
    <s v="DO110725017"/>
    <d v="2025-07-11T00:00:00"/>
    <s v="PO08072501"/>
    <x v="2"/>
    <s v="BP006"/>
    <s v="PET Green Flakes"/>
    <n v="3105"/>
    <s v="kg"/>
  </r>
  <r>
    <s v="DO120725018"/>
    <d v="2025-07-12T00:00:00"/>
    <s v="PO09072501"/>
    <x v="3"/>
    <s v="BP003"/>
    <s v="HDPE Natural Flakes"/>
    <n v="2250"/>
    <s v="kg"/>
  </r>
  <r>
    <s v="DO130725019"/>
    <d v="2025-07-13T00:00:00"/>
    <s v="PO10072501"/>
    <x v="4"/>
    <s v="BP005"/>
    <s v="PP Injection Flakes"/>
    <n v="3325"/>
    <s v="kg"/>
  </r>
  <r>
    <s v="DO140725020"/>
    <d v="2025-07-14T00:00:00"/>
    <s v="PO11072501"/>
    <x v="5"/>
    <s v="BP008"/>
    <s v="PET Mixed Color Flakes"/>
    <n v="2870"/>
    <s v="kg"/>
  </r>
  <r>
    <s v="DO150725021"/>
    <d v="2025-07-15T00:00:00"/>
    <s v="PO12072501"/>
    <x v="6"/>
    <s v="BP002"/>
    <s v="PET Blue Flakes"/>
    <n v="3200"/>
    <s v="kg"/>
  </r>
  <r>
    <s v="DO160725022"/>
    <d v="2025-07-16T00:00:00"/>
    <s v="PO13072501"/>
    <x v="0"/>
    <s v="BP011"/>
    <s v="PET Hot Washed Flakes"/>
    <n v="2650"/>
    <s v="kg"/>
  </r>
  <r>
    <s v="DO170725023"/>
    <d v="2025-07-17T00:00:00"/>
    <s v="PO14072501"/>
    <x v="1"/>
    <s v="BP010"/>
    <s v="HDPE Bottle Cap Flakes"/>
    <n v="2100"/>
    <s v="kg"/>
  </r>
  <r>
    <s v="DO180725024"/>
    <d v="2025-07-18T00:00:00"/>
    <s v="PO15072501"/>
    <x v="2"/>
    <s v="BP003"/>
    <s v="HDPE Natural Flakes"/>
    <n v="2980"/>
    <s v="kg"/>
  </r>
  <r>
    <s v="DO190725025"/>
    <d v="2025-07-19T00:00:00"/>
    <s v="PO16072501"/>
    <x v="3"/>
    <s v="BP006"/>
    <s v="PET Green Flakes"/>
    <n v="3450"/>
    <s v="kg"/>
  </r>
  <r>
    <s v="DO200725026"/>
    <d v="2025-07-20T00:00:00"/>
    <s v="PO17072501"/>
    <x v="4"/>
    <s v="BP005"/>
    <s v="PP Injection Flakes"/>
    <n v="3100"/>
    <s v="kg"/>
  </r>
  <r>
    <s v="DO030825001"/>
    <d v="2025-08-03T00:00:00"/>
    <s v="PO01082501"/>
    <x v="0"/>
    <s v="BP001"/>
    <s v="PET Clear Flakes"/>
    <n v="2500"/>
    <s v="kg"/>
  </r>
  <r>
    <s v="DO040825002"/>
    <d v="2025-08-04T00:00:00"/>
    <s v="PO02082501"/>
    <x v="1"/>
    <s v="BP002"/>
    <s v="PET Blue Flakes"/>
    <n v="3100"/>
    <s v="kg"/>
  </r>
  <r>
    <s v="DO050825003"/>
    <d v="2025-08-05T00:00:00"/>
    <s v="PO03082501"/>
    <x v="2"/>
    <s v="BP003"/>
    <s v="HDPE Natural Flakes"/>
    <n v="2200"/>
    <s v="kg"/>
  </r>
  <r>
    <s v="DO060825004"/>
    <d v="2025-08-06T00:00:00"/>
    <s v="PO04082501"/>
    <x v="3"/>
    <s v="BP004"/>
    <s v="HDPE Mixed Color Flakes"/>
    <n v="1850"/>
    <s v="kg"/>
  </r>
  <r>
    <s v="DO070825005"/>
    <d v="2025-08-07T00:00:00"/>
    <s v="PO05082501"/>
    <x v="4"/>
    <s v="BP005"/>
    <s v="PP Injection Flakes"/>
    <n v="2950"/>
    <s v="kg"/>
  </r>
  <r>
    <s v="DO080825006"/>
    <d v="2025-08-08T00:00:00"/>
    <s v="PO06082501"/>
    <x v="5"/>
    <s v="BP006"/>
    <s v="PET Green Flakes"/>
    <n v="2700"/>
    <s v="kg"/>
  </r>
  <r>
    <s v="DO090825007"/>
    <d v="2025-08-09T00:00:00"/>
    <s v="PO07082501"/>
    <x v="6"/>
    <s v="BP007"/>
    <s v="HDPE Blue Drum Flakes"/>
    <n v="1650"/>
    <s v="kg"/>
  </r>
  <r>
    <s v="DO100825008"/>
    <d v="2025-08-10T00:00:00"/>
    <s v="PO08082501"/>
    <x v="0"/>
    <s v="BP008"/>
    <s v="PET Mixed Color Flakes"/>
    <n v="2100"/>
    <s v="kg"/>
  </r>
  <r>
    <s v="DO110825009"/>
    <d v="2025-08-11T00:00:00"/>
    <s v="PO09082501"/>
    <x v="1"/>
    <s v="BP009"/>
    <s v="PP White Flakes"/>
    <n v="3250"/>
    <s v="kg"/>
  </r>
  <r>
    <s v="DO120825010"/>
    <d v="2025-08-12T00:00:00"/>
    <s v="PO10082501"/>
    <x v="2"/>
    <s v="BP010"/>
    <s v="HDPE Bottle Cap Flakes"/>
    <n v="2800"/>
    <s v="kg"/>
  </r>
  <r>
    <s v="DO130825011"/>
    <d v="2025-08-13T00:00:00"/>
    <s v="PO11082501"/>
    <x v="3"/>
    <s v="BP011"/>
    <s v="PET Hot Washed Flakes"/>
    <n v="3400"/>
    <s v="kg"/>
  </r>
  <r>
    <s v="DO140825012"/>
    <d v="2025-08-14T00:00:00"/>
    <s v="PO12082501"/>
    <x v="4"/>
    <s v="BP001"/>
    <s v="PET Clear Flakes"/>
    <n v="2600"/>
    <s v="kg"/>
  </r>
  <r>
    <s v="DO150825013"/>
    <d v="2025-08-15T00:00:00"/>
    <s v="PO13082501"/>
    <x v="5"/>
    <s v="BP003"/>
    <s v="HDPE Natural Flakes"/>
    <n v="2300"/>
    <s v="kg"/>
  </r>
  <r>
    <s v="DO160825014"/>
    <d v="2025-08-16T00:00:00"/>
    <s v="PO14082501"/>
    <x v="6"/>
    <s v="BP005"/>
    <s v="PP Injection Flakes"/>
    <n v="2900"/>
    <s v="kg"/>
  </r>
  <r>
    <s v="DO170825015"/>
    <d v="2025-08-17T00:00:00"/>
    <s v="PO15082501"/>
    <x v="0"/>
    <s v="BP002"/>
    <s v="PET Blue Flakes"/>
    <n v="3100"/>
    <s v="kg"/>
  </r>
  <r>
    <s v="DO180825016"/>
    <d v="2025-08-18T00:00:00"/>
    <s v="PO16082501"/>
    <x v="1"/>
    <s v="BP006"/>
    <s v="PET Green Flakes"/>
    <n v="2750"/>
    <s v="kg"/>
  </r>
  <r>
    <s v="DO190825017"/>
    <d v="2025-08-19T00:00:00"/>
    <s v="PO17082501"/>
    <x v="2"/>
    <s v="BP008"/>
    <s v="PET Mixed Color Flakes"/>
    <n v="2400"/>
    <s v="kg"/>
  </r>
  <r>
    <s v="DO200825018"/>
    <d v="2025-08-20T00:00:00"/>
    <s v="PO18082501"/>
    <x v="3"/>
    <s v="BP004"/>
    <s v="HDPE Mixed Color Flakes"/>
    <n v="2000"/>
    <s v="kg"/>
  </r>
  <r>
    <s v="DO210825019"/>
    <d v="2025-08-21T00:00:00"/>
    <s v="PO19082501"/>
    <x v="4"/>
    <s v="BP007"/>
    <s v="HDPE Blue Drum Flakes"/>
    <n v="1750"/>
    <s v="kg"/>
  </r>
  <r>
    <s v="DO220825020"/>
    <d v="2025-08-22T00:00:00"/>
    <s v="PO20082501"/>
    <x v="5"/>
    <s v="BP011"/>
    <s v="PET Hot Washed Flakes"/>
    <n v="3550"/>
    <s v="kg"/>
  </r>
  <r>
    <s v="DO230825021"/>
    <d v="2025-08-23T00:00:00"/>
    <s v="PO21082501"/>
    <x v="6"/>
    <s v="BP009"/>
    <s v="PP White Flakes"/>
    <n v="2650"/>
    <s v="kg"/>
  </r>
  <r>
    <s v="DO240825022"/>
    <d v="2025-08-24T00:00:00"/>
    <s v="PO22082501"/>
    <x v="0"/>
    <s v="BP001"/>
    <s v="PET Clear Flakes"/>
    <n v="2850"/>
    <s v="kg"/>
  </r>
  <r>
    <s v="DO250825023"/>
    <d v="2025-08-25T00:00:00"/>
    <s v="PO23082501"/>
    <x v="1"/>
    <s v="BP010"/>
    <s v="HDPE Bottle Cap Flakes"/>
    <n v="2950"/>
    <s v="kg"/>
  </r>
  <r>
    <s v="DO260825024"/>
    <d v="2025-08-26T00:00:00"/>
    <s v="PO24082501"/>
    <x v="2"/>
    <s v="BP003"/>
    <s v="HDPE Natural Flakes"/>
    <n v="2150"/>
    <s v="kg"/>
  </r>
  <r>
    <s v="DO270825025"/>
    <d v="2025-08-27T00:00:00"/>
    <s v="PO25082501"/>
    <x v="3"/>
    <s v="BP006"/>
    <s v="PET Green Flakes"/>
    <n v="3050"/>
    <s v="kg"/>
  </r>
  <r>
    <s v="DO030925001"/>
    <d v="2025-09-03T00:00:00"/>
    <s v="PO01092501"/>
    <x v="0"/>
    <s v="BP001"/>
    <s v="PET Clear Flakes"/>
    <n v="2150"/>
    <s v="kg"/>
  </r>
  <r>
    <s v="DO040925002"/>
    <d v="2025-09-04T00:00:00"/>
    <s v="PO01092502"/>
    <x v="1"/>
    <s v="BP003"/>
    <s v="HDPE Natural Flakes"/>
    <n v="3200"/>
    <s v="kg"/>
  </r>
  <r>
    <s v="DO050925003"/>
    <d v="2025-09-05T00:00:00"/>
    <s v="PO02092501"/>
    <x v="2"/>
    <s v="BP002"/>
    <s v="PET Blue Flakes"/>
    <n v="1850"/>
    <s v="kg"/>
  </r>
  <r>
    <s v="DO060925004"/>
    <d v="2025-09-06T00:00:00"/>
    <s v="PO03092501"/>
    <x v="3"/>
    <s v="BP004"/>
    <s v="HDPE Mixed Color Flakes"/>
    <n v="2600"/>
    <s v="kg"/>
  </r>
  <r>
    <s v="DO070925005"/>
    <d v="2025-09-07T00:00:00"/>
    <s v="PO03092502"/>
    <x v="5"/>
    <s v="BP006"/>
    <s v="PET Green Flakes"/>
    <n v="2980"/>
    <s v="kg"/>
  </r>
  <r>
    <s v="DO070925006"/>
    <d v="2025-09-07T00:00:00"/>
    <s v="PO04092501"/>
    <x v="4"/>
    <s v="BP005"/>
    <s v="PP Injection Flakes"/>
    <n v="3350"/>
    <s v="kg"/>
  </r>
  <r>
    <s v="DO080925007"/>
    <d v="2025-09-08T00:00:00"/>
    <s v="PO05092501"/>
    <x v="6"/>
    <s v="BP007"/>
    <s v="HDPE Blue Drum Flakes"/>
    <n v="1740"/>
    <s v="kg"/>
  </r>
  <r>
    <s v="DO090925008"/>
    <d v="2025-09-09T00:00:00"/>
    <s v="PO06092501"/>
    <x v="0"/>
    <s v="BP001"/>
    <s v="PET Clear Flakes"/>
    <n v="2860"/>
    <s v="kg"/>
  </r>
  <r>
    <s v="DO100925009"/>
    <d v="2025-09-10T00:00:00"/>
    <s v="PO07092501"/>
    <x v="1"/>
    <s v="BP008"/>
    <s v="PET Mixed Color Flakes"/>
    <n v="3100"/>
    <s v="kg"/>
  </r>
  <r>
    <s v="DO110925010"/>
    <d v="2025-09-11T00:00:00"/>
    <s v="PO08092501"/>
    <x v="2"/>
    <s v="BP003"/>
    <s v="HDPE Natural Flakes"/>
    <n v="2450"/>
    <s v="kg"/>
  </r>
  <r>
    <s v="DO120925011"/>
    <d v="2025-09-12T00:00:00"/>
    <s v="PO09092501"/>
    <x v="3"/>
    <s v="BP009"/>
    <s v="PP White Flakes"/>
    <n v="2100"/>
    <s v="kg"/>
  </r>
  <r>
    <s v="DO130925012"/>
    <d v="2025-09-13T00:00:00"/>
    <s v="PO10092501"/>
    <x v="5"/>
    <s v="BP006"/>
    <s v="PET Green Flakes"/>
    <n v="3750"/>
    <s v="kg"/>
  </r>
  <r>
    <s v="DO130925013"/>
    <d v="2025-09-13T00:00:00"/>
    <s v="PO10092502"/>
    <x v="4"/>
    <s v="BP004"/>
    <s v="HDPE Mixed Color Flakes"/>
    <n v="2980"/>
    <s v="kg"/>
  </r>
  <r>
    <s v="DO140925014"/>
    <d v="2025-09-14T00:00:00"/>
    <s v="PO11092501"/>
    <x v="6"/>
    <s v="BP010"/>
    <s v="HDPE Bottle Cap Flakes"/>
    <n v="1540"/>
    <s v="kg"/>
  </r>
  <r>
    <s v="DO150925015"/>
    <d v="2025-09-15T00:00:00"/>
    <s v="PO12092501"/>
    <x v="0"/>
    <s v="BP011"/>
    <s v="PET Hot Washed Flakes"/>
    <n v="4050"/>
    <s v="kg"/>
  </r>
  <r>
    <s v="DO160925016"/>
    <d v="2025-09-16T00:00:00"/>
    <s v="PO13092501"/>
    <x v="1"/>
    <s v="BP002"/>
    <s v="PET Blue Flakes"/>
    <n v="2600"/>
    <s v="kg"/>
  </r>
  <r>
    <s v="DO170925017"/>
    <d v="2025-09-17T00:00:00"/>
    <s v="PO14092501"/>
    <x v="2"/>
    <s v="BP005"/>
    <s v="PP Injection Flakes"/>
    <n v="2300"/>
    <s v="kg"/>
  </r>
  <r>
    <s v="DO180925018"/>
    <d v="2025-09-18T00:00:00"/>
    <s v="PO15092501"/>
    <x v="3"/>
    <s v="BP001"/>
    <s v="PET Clear Flakes"/>
    <n v="3420"/>
    <s v="kg"/>
  </r>
  <r>
    <s v="DO190925019"/>
    <d v="2025-09-19T00:00:00"/>
    <s v="PO16092501"/>
    <x v="5"/>
    <s v="BP006"/>
    <s v="PET Green Flakes"/>
    <n v="2985"/>
    <s v="kg"/>
  </r>
  <r>
    <s v="DO200925020"/>
    <d v="2025-09-20T00:00:00"/>
    <s v="PO17092501"/>
    <x v="4"/>
    <s v="BP003"/>
    <s v="HDPE Natural Flakes"/>
    <n v="3150"/>
    <s v="kg"/>
  </r>
  <r>
    <s v="DO210925021"/>
    <d v="2025-09-21T00:00:00"/>
    <s v="PO18092501"/>
    <x v="6"/>
    <s v="BP007"/>
    <s v="HDPE Blue Drum Flakes"/>
    <n v="1840"/>
    <s v="kg"/>
  </r>
  <r>
    <s v="DO220925022"/>
    <d v="2025-09-22T00:00:00"/>
    <s v="PO19092501"/>
    <x v="0"/>
    <s v="BP011"/>
    <s v="PET Hot Washed Flakes"/>
    <n v="4200"/>
    <s v="kg"/>
  </r>
  <r>
    <s v="DO230925023"/>
    <d v="2025-09-23T00:00:00"/>
    <s v="PO20092501"/>
    <x v="1"/>
    <s v="BP004"/>
    <s v="HDPE Mixed Color Flakes"/>
    <n v="2990"/>
    <s v="kg"/>
  </r>
  <r>
    <s v="DO240925024"/>
    <d v="2025-09-24T00:00:00"/>
    <s v="PO21092501"/>
    <x v="2"/>
    <s v="BP009"/>
    <s v="PP White Flakes"/>
    <n v="2500"/>
    <s v="kg"/>
  </r>
  <r>
    <s v="DO250925025"/>
    <d v="2025-09-25T00:00:00"/>
    <s v="PO22092501"/>
    <x v="3"/>
    <s v="BP002"/>
    <s v="PET Blue Flakes"/>
    <n v="2680"/>
    <s v="kg"/>
  </r>
  <r>
    <s v="DO260925026"/>
    <d v="2025-09-26T00:00:00"/>
    <s v="PO23092501"/>
    <x v="5"/>
    <s v="BP008"/>
    <s v="PET Mixed Color Flakes"/>
    <n v="3100"/>
    <s v="kg"/>
  </r>
  <r>
    <s v="DO270925027"/>
    <d v="2025-09-27T00:00:00"/>
    <s v="PO24092501"/>
    <x v="4"/>
    <s v="BP005"/>
    <s v="PP Injection Flakes"/>
    <n v="3450"/>
    <s v="kg"/>
  </r>
  <r>
    <s v="DO031025001"/>
    <d v="2025-10-03T00:00:00"/>
    <s v="PO01102501"/>
    <x v="0"/>
    <s v="BP001"/>
    <s v="PET Clear Flakes"/>
    <n v="2100"/>
    <s v="kg"/>
  </r>
  <r>
    <s v="DO051025002"/>
    <d v="2025-10-05T00:00:00"/>
    <s v="PO02102501"/>
    <x v="1"/>
    <s v="BP002"/>
    <s v="PET Blue Flakes"/>
    <n v="1850"/>
    <s v="kg"/>
  </r>
  <r>
    <s v="DO061025003"/>
    <d v="2025-10-06T00:00:00"/>
    <s v="PO03102501"/>
    <x v="2"/>
    <s v="BP003"/>
    <s v="HDPE Natural Flakes"/>
    <n v="3200"/>
    <s v="kg"/>
  </r>
  <r>
    <s v="DO071025004"/>
    <d v="2025-10-07T00:00:00"/>
    <s v="PO04102501"/>
    <x v="3"/>
    <s v="BP004"/>
    <s v="HDPE Mixed Color Flakes"/>
    <n v="2750"/>
    <s v="kg"/>
  </r>
  <r>
    <s v="DO081025005"/>
    <d v="2025-10-08T00:00:00"/>
    <s v="PO05102501"/>
    <x v="4"/>
    <s v="BP005"/>
    <s v="PP Injection Flakes"/>
    <n v="1980"/>
    <s v="kg"/>
  </r>
  <r>
    <s v="DO091025006"/>
    <d v="2025-10-09T00:00:00"/>
    <s v="PO06102501"/>
    <x v="5"/>
    <s v="BP006"/>
    <s v="PET Green Flakes"/>
    <n v="3050"/>
    <s v="kg"/>
  </r>
  <r>
    <s v="DO101025007"/>
    <d v="2025-10-10T00:00:00"/>
    <s v="PO07102501"/>
    <x v="6"/>
    <s v="BP007"/>
    <s v="HDPE Blue Drum Flakes"/>
    <n v="2240"/>
    <s v="kg"/>
  </r>
  <r>
    <s v="DO111025008"/>
    <d v="2025-10-11T00:00:00"/>
    <s v="PO08102501"/>
    <x v="0"/>
    <s v="BP008"/>
    <s v="PET Mixed Color Flakes"/>
    <n v="2675"/>
    <s v="kg"/>
  </r>
  <r>
    <s v="DO121025009"/>
    <d v="2025-10-12T00:00:00"/>
    <s v="PO09102501"/>
    <x v="1"/>
    <s v="BP009"/>
    <s v="PP White Flakes"/>
    <n v="2890"/>
    <s v="kg"/>
  </r>
  <r>
    <s v="DO131025010"/>
    <d v="2025-10-13T00:00:00"/>
    <s v="PO10102501"/>
    <x v="2"/>
    <s v="BP010"/>
    <s v="HDPE Bottle Cap Flakes"/>
    <n v="1760"/>
    <s v="kg"/>
  </r>
  <r>
    <s v="DO141025011"/>
    <d v="2025-10-14T00:00:00"/>
    <s v="PO11102501"/>
    <x v="3"/>
    <s v="BP011"/>
    <s v="PET Hot Washed Flakes"/>
    <n v="3500"/>
    <s v="kg"/>
  </r>
  <r>
    <s v="DO151025012"/>
    <d v="2025-10-15T00:00:00"/>
    <s v="PO12102501"/>
    <x v="4"/>
    <s v="BP001"/>
    <s v="PET Clear Flakes"/>
    <n v="2600"/>
    <s v="kg"/>
  </r>
  <r>
    <s v="DO161025013"/>
    <d v="2025-10-16T00:00:00"/>
    <s v="PO13102501"/>
    <x v="5"/>
    <s v="BP002"/>
    <s v="PET Blue Flakes"/>
    <n v="2400"/>
    <s v="kg"/>
  </r>
  <r>
    <s v="DO171025014"/>
    <d v="2025-10-17T00:00:00"/>
    <s v="PO14102501"/>
    <x v="6"/>
    <s v="BP003"/>
    <s v="HDPE Natural Flakes"/>
    <n v="3150"/>
    <s v="kg"/>
  </r>
  <r>
    <s v="DO181025015"/>
    <d v="2025-10-18T00:00:00"/>
    <s v="PO15102501"/>
    <x v="0"/>
    <s v="BP004"/>
    <s v="HDPE Mixed Color Flakes"/>
    <n v="2210"/>
    <s v="kg"/>
  </r>
  <r>
    <s v="DO191025016"/>
    <d v="2025-10-19T00:00:00"/>
    <s v="PO16102501"/>
    <x v="1"/>
    <s v="BP005"/>
    <s v="PP Injection Flakes"/>
    <n v="2750"/>
    <s v="kg"/>
  </r>
  <r>
    <s v="DO201025017"/>
    <d v="2025-10-20T00:00:00"/>
    <s v="PO17102501"/>
    <x v="2"/>
    <s v="BP006"/>
    <s v="PET Green Flakes"/>
    <n v="2330"/>
    <s v="kg"/>
  </r>
  <r>
    <s v="DO211025018"/>
    <d v="2025-10-21T00:00:00"/>
    <s v="PO18102501"/>
    <x v="3"/>
    <s v="BP007"/>
    <s v="HDPE Blue Drum Flakes"/>
    <n v="2980"/>
    <s v="kg"/>
  </r>
  <r>
    <s v="DO221025019"/>
    <d v="2025-10-22T00:00:00"/>
    <s v="PO19102501"/>
    <x v="4"/>
    <s v="BP008"/>
    <s v="PET Mixed Color Flakes"/>
    <n v="1880"/>
    <s v="kg"/>
  </r>
  <r>
    <s v="DO231025020"/>
    <d v="2025-10-23T00:00:00"/>
    <s v="PO20102501"/>
    <x v="5"/>
    <s v="BP009"/>
    <s v="PP White Flakes"/>
    <n v="3200"/>
    <s v="kg"/>
  </r>
  <r>
    <s v="DO241025021"/>
    <d v="2025-10-24T00:00:00"/>
    <s v="PO21102501"/>
    <x v="6"/>
    <s v="BP010"/>
    <s v="HDPE Bottle Cap Flakes"/>
    <n v="2450"/>
    <s v="kg"/>
  </r>
  <r>
    <s v="DO251025022"/>
    <d v="2025-10-25T00:00:00"/>
    <s v="PO22102501"/>
    <x v="0"/>
    <s v="BP011"/>
    <s v="PET Hot Washed Flakes"/>
    <n v="3560"/>
    <s v="kg"/>
  </r>
  <r>
    <s v="DO261025023"/>
    <d v="2025-10-26T00:00:00"/>
    <s v="PO23102501"/>
    <x v="1"/>
    <s v="BP001"/>
    <s v="PET Clear Flakes"/>
    <n v="2070"/>
    <s v="kg"/>
  </r>
  <r>
    <s v="DO271025024"/>
    <d v="2025-10-27T00:00:00"/>
    <s v="PO24102501"/>
    <x v="2"/>
    <s v="BP002"/>
    <s v="PET Blue Flakes"/>
    <n v="2940"/>
    <s v="kg"/>
  </r>
  <r>
    <s v="DO281025025"/>
    <d v="2025-10-28T00:00:00"/>
    <s v="PO25102501"/>
    <x v="3"/>
    <s v="BP003"/>
    <s v="HDPE Natural Flakes"/>
    <n v="3100"/>
    <s v="kg"/>
  </r>
  <r>
    <s v="DO031125001"/>
    <d v="2025-11-03T00:00:00"/>
    <s v="PO01112501"/>
    <x v="0"/>
    <s v="BP001"/>
    <s v="PET Clear Flakes"/>
    <n v="2150"/>
    <s v="kg"/>
  </r>
  <r>
    <s v="DO041125002"/>
    <d v="2025-11-04T00:00:00"/>
    <s v="PO01112502"/>
    <x v="1"/>
    <s v="BP003"/>
    <s v="HDPE Natural Flakes"/>
    <n v="1850"/>
    <s v="kg"/>
  </r>
  <r>
    <s v="DO041125003"/>
    <d v="2025-11-04T00:00:00"/>
    <s v="PO01112503"/>
    <x v="3"/>
    <s v="BP006"/>
    <s v="PET Green Flakes"/>
    <n v="3020"/>
    <s v="kg"/>
  </r>
  <r>
    <s v="DO051125004"/>
    <d v="2025-11-05T00:00:00"/>
    <s v="PO02112501"/>
    <x v="4"/>
    <s v="BP004"/>
    <s v="HDPE Mixed Color Flakes"/>
    <n v="1750"/>
    <s v="kg"/>
  </r>
  <r>
    <s v="DO051125005"/>
    <d v="2025-11-05T00:00:00"/>
    <s v="PO02112502"/>
    <x v="5"/>
    <s v="BP002"/>
    <s v="PET Blue Flakes"/>
    <n v="2640"/>
    <s v="kg"/>
  </r>
  <r>
    <s v="DO061125006"/>
    <d v="2025-11-06T00:00:00"/>
    <s v="PO03112501"/>
    <x v="2"/>
    <s v="BP005"/>
    <s v="PP Injection Flakes"/>
    <n v="3200"/>
    <s v="kg"/>
  </r>
  <r>
    <s v="DO061125007"/>
    <d v="2025-11-06T00:00:00"/>
    <s v="PO03112502"/>
    <x v="6"/>
    <s v="BP007"/>
    <s v="HDPE Blue Drum Flakes"/>
    <n v="1450"/>
    <s v="kg"/>
  </r>
  <r>
    <s v="DO071125008"/>
    <d v="2025-11-07T00:00:00"/>
    <s v="PO04112501"/>
    <x v="1"/>
    <s v="BP008"/>
    <s v="PET Mixed Color Flakes"/>
    <n v="2860"/>
    <s v="kg"/>
  </r>
  <r>
    <s v="DO071125009"/>
    <d v="2025-11-07T00:00:00"/>
    <s v="PO04112502"/>
    <x v="0"/>
    <s v="BP001"/>
    <s v="PET Clear Flakes"/>
    <n v="1950"/>
    <s v="kg"/>
  </r>
  <r>
    <s v="DO081125010"/>
    <d v="2025-11-08T00:00:00"/>
    <s v="PO05112501"/>
    <x v="4"/>
    <s v="BP009"/>
    <s v="PP White Flakes"/>
    <n v="2410"/>
    <s v="kg"/>
  </r>
  <r>
    <s v="DO091125011"/>
    <d v="2025-11-09T00:00:00"/>
    <s v="PO06112501"/>
    <x v="5"/>
    <s v="BP011"/>
    <s v="PET Hot Washed Flakes"/>
    <n v="3560"/>
    <s v="kg"/>
  </r>
  <r>
    <s v="DO101125012"/>
    <d v="2025-11-10T00:00:00"/>
    <s v="PO07112501"/>
    <x v="3"/>
    <s v="BP004"/>
    <s v="HDPE Mixed Color Flakes"/>
    <n v="2980"/>
    <s v="kg"/>
  </r>
  <r>
    <s v="DO111125013"/>
    <d v="2025-11-11T00:00:00"/>
    <s v="PO08112501"/>
    <x v="2"/>
    <s v="BP003"/>
    <s v="HDPE Natural Flakes"/>
    <n v="2100"/>
    <s v="kg"/>
  </r>
  <r>
    <s v="DO121125014"/>
    <d v="2025-11-12T00:00:00"/>
    <s v="PO09112501"/>
    <x v="1"/>
    <s v="BP002"/>
    <s v="PET Blue Flakes"/>
    <n v="3300"/>
    <s v="kg"/>
  </r>
  <r>
    <s v="DO131125015"/>
    <d v="2025-11-13T00:00:00"/>
    <s v="PO10112501"/>
    <x v="4"/>
    <s v="BP006"/>
    <s v="PET Green Flakes"/>
    <n v="1840"/>
    <s v="kg"/>
  </r>
  <r>
    <s v="DO141125016"/>
    <d v="2025-11-14T00:00:00"/>
    <s v="PO11112501"/>
    <x v="6"/>
    <s v="BP007"/>
    <s v="HDPE Blue Drum Flakes"/>
    <n v="1560"/>
    <s v="kg"/>
  </r>
  <r>
    <s v="DO151125017"/>
    <d v="2025-11-15T00:00:00"/>
    <s v="PO12112501"/>
    <x v="5"/>
    <s v="BP005"/>
    <s v="PP Injection Flakes"/>
    <n v="2890"/>
    <s v="kg"/>
  </r>
  <r>
    <s v="DO161125018"/>
    <d v="2025-11-16T00:00:00"/>
    <s v="PO13112501"/>
    <x v="3"/>
    <s v="BP011"/>
    <s v="PET Hot Washed Flakes"/>
    <n v="3620"/>
    <s v="kg"/>
  </r>
  <r>
    <s v="DO171125019"/>
    <d v="2025-11-17T00:00:00"/>
    <s v="PO14112501"/>
    <x v="0"/>
    <s v="BP001"/>
    <s v="PET Clear Flakes"/>
    <n v="2740"/>
    <s v="kg"/>
  </r>
  <r>
    <s v="DO181125020"/>
    <d v="2025-11-18T00:00:00"/>
    <s v="PO15112501"/>
    <x v="2"/>
    <s v="BP004"/>
    <s v="HDPE Mixed Color Flakes"/>
    <n v="1990"/>
    <s v="kg"/>
  </r>
  <r>
    <s v="DO191125021"/>
    <d v="2025-11-19T00:00:00"/>
    <s v="PO16112501"/>
    <x v="1"/>
    <s v="BP008"/>
    <s v="PET Mixed Color Flakes"/>
    <n v="3050"/>
    <s v="kg"/>
  </r>
  <r>
    <s v="DO201125022"/>
    <d v="2025-11-20T00:00:00"/>
    <s v="PO17112501"/>
    <x v="4"/>
    <s v="BP003"/>
    <s v="HDPE Natural Flakes"/>
    <n v="2480"/>
    <s v="kg"/>
  </r>
  <r>
    <s v="DO211125023"/>
    <d v="2025-11-21T00:00:00"/>
    <s v="PO18112501"/>
    <x v="6"/>
    <s v="BP010"/>
    <s v="HDPE Bottle Cap Flakes"/>
    <n v="1670"/>
    <s v="kg"/>
  </r>
  <r>
    <s v="DO221125024"/>
    <d v="2025-11-22T00:00:00"/>
    <s v="PO19112501"/>
    <x v="5"/>
    <s v="BP009"/>
    <s v="PP White Flakes"/>
    <n v="2230"/>
    <s v="kg"/>
  </r>
  <r>
    <s v="DO231125025"/>
    <d v="2025-11-23T00:00:00"/>
    <s v="PO20112501"/>
    <x v="3"/>
    <s v="BP006"/>
    <s v="PET Green Flakes"/>
    <n v="2870"/>
    <s v="kg"/>
  </r>
  <r>
    <s v="DO241125026"/>
    <d v="2025-11-24T00:00:00"/>
    <s v="PO21112501"/>
    <x v="2"/>
    <s v="BP001"/>
    <s v="PET Clear Flakes"/>
    <n v="3120"/>
    <s v="kg"/>
  </r>
  <r>
    <s v="DO031225001"/>
    <d v="2025-12-03T00:00:00"/>
    <s v="PO01122501"/>
    <x v="0"/>
    <s v="BP001"/>
    <s v="PET Clear Flakes"/>
    <n v="1850"/>
    <s v="kg"/>
  </r>
  <r>
    <s v="DO041225002"/>
    <d v="2025-12-04T00:00:00"/>
    <s v="PO01122502"/>
    <x v="1"/>
    <s v="BP002"/>
    <s v="PET Blue Flakes"/>
    <n v="2950"/>
    <s v="kg"/>
  </r>
  <r>
    <s v="DO041225003"/>
    <d v="2025-12-04T00:00:00"/>
    <s v="PO01122503"/>
    <x v="2"/>
    <s v="BP003"/>
    <s v="HDPE Natural Flakes"/>
    <n v="2100"/>
    <s v="kg"/>
  </r>
  <r>
    <s v="DO051225004"/>
    <d v="2025-12-05T00:00:00"/>
    <s v="PO02122501"/>
    <x v="3"/>
    <s v="BP004"/>
    <s v="HDPE Mixed Color Flakes"/>
    <n v="1740"/>
    <s v="kg"/>
  </r>
  <r>
    <s v="DO051225005"/>
    <d v="2025-12-05T00:00:00"/>
    <s v="PO02122502"/>
    <x v="4"/>
    <s v="BP005"/>
    <s v="PP Injection Flakes"/>
    <n v="2600"/>
    <s v="kg"/>
  </r>
  <r>
    <s v="DO061225006"/>
    <d v="2025-12-06T00:00:00"/>
    <s v="PO03122501"/>
    <x v="5"/>
    <s v="BP006"/>
    <s v="PET Green Flakes"/>
    <n v="3250"/>
    <s v="kg"/>
  </r>
  <r>
    <s v="DO061225007"/>
    <d v="2025-12-06T00:00:00"/>
    <s v="PO03122502"/>
    <x v="6"/>
    <s v="BP007"/>
    <s v="HDPE Blue Drum Flakes"/>
    <n v="1480"/>
    <s v="kg"/>
  </r>
  <r>
    <s v="DO071225008"/>
    <d v="2025-12-07T00:00:00"/>
    <s v="PO04122501"/>
    <x v="0"/>
    <s v="BP008"/>
    <s v="PET Mixed Color Flakes"/>
    <n v="2100"/>
    <s v="kg"/>
  </r>
  <r>
    <s v="DO071225009"/>
    <d v="2025-12-07T00:00:00"/>
    <s v="PO04122502"/>
    <x v="1"/>
    <s v="BP001"/>
    <s v="PET Clear Flakes"/>
    <n v="3320"/>
    <s v="kg"/>
  </r>
  <r>
    <s v="DO081225010"/>
    <d v="2025-12-08T00:00:00"/>
    <s v="PO05122501"/>
    <x v="2"/>
    <s v="BP009"/>
    <s v="PP White Flakes"/>
    <n v="2550"/>
    <s v="kg"/>
  </r>
  <r>
    <s v="DO081225011"/>
    <d v="2025-12-08T00:00:00"/>
    <s v="PO05122502"/>
    <x v="3"/>
    <s v="BP004"/>
    <s v="HDPE Mixed Color Flakes"/>
    <n v="3780"/>
    <s v="kg"/>
  </r>
  <r>
    <s v="DO091225012"/>
    <d v="2025-12-09T00:00:00"/>
    <s v="PO06122501"/>
    <x v="4"/>
    <s v="BP011"/>
    <s v="PET Hot Washed Flakes"/>
    <n v="3150"/>
    <s v="kg"/>
  </r>
  <r>
    <s v="DO091225013"/>
    <d v="2025-12-09T00:00:00"/>
    <s v="PO06122502"/>
    <x v="5"/>
    <s v="BP002"/>
    <s v="PET Blue Flakes"/>
    <n v="2890"/>
    <s v="kg"/>
  </r>
  <r>
    <s v="DO101225014"/>
    <d v="2025-12-10T00:00:00"/>
    <s v="PO07122501"/>
    <x v="6"/>
    <s v="BP003"/>
    <s v="HDPE Natural Flakes"/>
    <n v="1940"/>
    <s v="kg"/>
  </r>
  <r>
    <s v="DO111225015"/>
    <d v="2025-12-11T00:00:00"/>
    <s v="PO08122501"/>
    <x v="0"/>
    <s v="BP001"/>
    <s v="PET Clear Flakes"/>
    <n v="3500"/>
    <s v="kg"/>
  </r>
  <r>
    <s v="DO121225016"/>
    <d v="2025-12-12T00:00:00"/>
    <s v="PO09122501"/>
    <x v="1"/>
    <s v="BP008"/>
    <s v="PET Mixed Color Flakes"/>
    <n v="2250"/>
    <s v="kg"/>
  </r>
  <r>
    <s v="DO131225017"/>
    <d v="2025-12-13T00:00:00"/>
    <s v="PO10122501"/>
    <x v="2"/>
    <s v="BP005"/>
    <s v="PP Injection Flakes"/>
    <n v="2730"/>
    <s v="kg"/>
  </r>
  <r>
    <s v="DO141225018"/>
    <d v="2025-12-14T00:00:00"/>
    <s v="PO11122501"/>
    <x v="3"/>
    <s v="BP007"/>
    <s v="HDPE Blue Drum Flakes"/>
    <n v="1650"/>
    <s v="kg"/>
  </r>
  <r>
    <s v="DO151225019"/>
    <d v="2025-12-15T00:00:00"/>
    <s v="PO12122501"/>
    <x v="4"/>
    <s v="BP006"/>
    <s v="PET Green Flakes"/>
    <n v="3080"/>
    <s v="kg"/>
  </r>
  <r>
    <s v="DO161225020"/>
    <d v="2025-12-16T00:00:00"/>
    <s v="PO13122501"/>
    <x v="5"/>
    <s v="BP009"/>
    <s v="PP White Flakes"/>
    <n v="2420"/>
    <s v="kg"/>
  </r>
  <r>
    <s v="DO171225021"/>
    <d v="2025-12-17T00:00:00"/>
    <s v="PO14122501"/>
    <x v="6"/>
    <s v="BP011"/>
    <s v="PET Hot Washed Flakes"/>
    <n v="3340"/>
    <s v="kg"/>
  </r>
  <r>
    <s v="DO181225022"/>
    <d v="2025-12-18T00:00:00"/>
    <s v="PO15122501"/>
    <x v="0"/>
    <s v="BP004"/>
    <s v="HDPE Mixed Color Flakes"/>
    <n v="2870"/>
    <s v="kg"/>
  </r>
  <r>
    <s v="DO191225023"/>
    <d v="2025-12-19T00:00:00"/>
    <s v="PO16122501"/>
    <x v="1"/>
    <s v="BP001"/>
    <s v="PET Clear Flakes"/>
    <n v="3620"/>
    <s v="kg"/>
  </r>
  <r>
    <s v="DO201225024"/>
    <d v="2025-12-20T00:00:00"/>
    <s v="PO17122501"/>
    <x v="2"/>
    <s v="BP003"/>
    <s v="HDPE Natural Flakes"/>
    <n v="2080"/>
    <s v="kg"/>
  </r>
  <r>
    <s v="DO211225025"/>
    <d v="2025-12-21T00:00:00"/>
    <s v="PO18122501"/>
    <x v="3"/>
    <s v="BP008"/>
    <s v="PET Mixed Color Flakes"/>
    <n v="2310"/>
    <s v="kg"/>
  </r>
  <r>
    <s v="DO221225026"/>
    <d v="2025-12-22T00:00:00"/>
    <s v="PO19122501"/>
    <x v="4"/>
    <s v="BP002"/>
    <s v="PET Blue Flakes"/>
    <n v="2980"/>
    <s v="kg"/>
  </r>
  <r>
    <s v="DO231225027"/>
    <d v="2025-12-23T00:00:00"/>
    <s v="PO20122501"/>
    <x v="5"/>
    <s v="BP005"/>
    <s v="PP Injection Flakes"/>
    <n v="2750"/>
    <s v="kg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">
  <r>
    <s v="INV030125001"/>
    <x v="0"/>
    <x v="0"/>
    <x v="0"/>
    <x v="0"/>
    <x v="0"/>
    <x v="0"/>
    <n v="1205"/>
    <s v="kg"/>
    <n v="12500"/>
    <n v="15062500"/>
  </r>
  <r>
    <s v="INV040125002"/>
    <x v="1"/>
    <x v="1"/>
    <x v="1"/>
    <x v="1"/>
    <x v="1"/>
    <x v="1"/>
    <n v="3015"/>
    <s v="kg"/>
    <n v="10000"/>
    <n v="30150000"/>
  </r>
  <r>
    <s v="INV050125003"/>
    <x v="2"/>
    <x v="2"/>
    <x v="2"/>
    <x v="2"/>
    <x v="2"/>
    <x v="2"/>
    <n v="2150"/>
    <s v="kg"/>
    <n v="13500"/>
    <n v="29025000"/>
  </r>
  <r>
    <s v="INV050125004"/>
    <x v="2"/>
    <x v="3"/>
    <x v="3"/>
    <x v="3"/>
    <x v="3"/>
    <x v="3"/>
    <n v="1890"/>
    <s v="kg"/>
    <n v="9500"/>
    <n v="17955000"/>
  </r>
  <r>
    <s v="INV060125005"/>
    <x v="3"/>
    <x v="4"/>
    <x v="4"/>
    <x v="4"/>
    <x v="4"/>
    <x v="4"/>
    <n v="2750"/>
    <s v="kg"/>
    <n v="11000"/>
    <n v="30250000"/>
  </r>
  <r>
    <s v="INV070125006"/>
    <x v="4"/>
    <x v="5"/>
    <x v="5"/>
    <x v="5"/>
    <x v="5"/>
    <x v="5"/>
    <n v="3320"/>
    <s v="kg"/>
    <n v="9000"/>
    <n v="29880000"/>
  </r>
  <r>
    <s v="INV070125007"/>
    <x v="4"/>
    <x v="6"/>
    <x v="6"/>
    <x v="6"/>
    <x v="6"/>
    <x v="6"/>
    <n v="1450"/>
    <s v="kg"/>
    <n v="11500"/>
    <n v="16675000"/>
  </r>
  <r>
    <s v="INV080125008"/>
    <x v="5"/>
    <x v="7"/>
    <x v="7"/>
    <x v="0"/>
    <x v="7"/>
    <x v="7"/>
    <n v="2100"/>
    <s v="kg"/>
    <n v="8500"/>
    <n v="17850000"/>
  </r>
  <r>
    <s v="INV090125009"/>
    <x v="6"/>
    <x v="8"/>
    <x v="8"/>
    <x v="1"/>
    <x v="8"/>
    <x v="8"/>
    <n v="3980"/>
    <s v="kg"/>
    <n v="12000"/>
    <n v="47760000"/>
  </r>
  <r>
    <s v="INV100125010"/>
    <x v="7"/>
    <x v="9"/>
    <x v="9"/>
    <x v="2"/>
    <x v="9"/>
    <x v="9"/>
    <n v="2560"/>
    <s v="kg"/>
    <n v="10500"/>
    <n v="26880000"/>
  </r>
  <r>
    <s v="INV110125011"/>
    <x v="8"/>
    <x v="10"/>
    <x v="10"/>
    <x v="3"/>
    <x v="10"/>
    <x v="10"/>
    <n v="3175"/>
    <s v="kg"/>
    <n v="14500"/>
    <n v="46037500"/>
  </r>
  <r>
    <s v="INV120125012"/>
    <x v="9"/>
    <x v="11"/>
    <x v="11"/>
    <x v="4"/>
    <x v="0"/>
    <x v="0"/>
    <n v="1875"/>
    <s v="kg"/>
    <n v="12500"/>
    <n v="23437500"/>
  </r>
  <r>
    <s v="INV130125013"/>
    <x v="10"/>
    <x v="12"/>
    <x v="12"/>
    <x v="5"/>
    <x v="1"/>
    <x v="1"/>
    <n v="2250"/>
    <s v="kg"/>
    <n v="10000"/>
    <n v="22500000"/>
  </r>
  <r>
    <s v="INV140125014"/>
    <x v="11"/>
    <x v="13"/>
    <x v="13"/>
    <x v="6"/>
    <x v="2"/>
    <x v="2"/>
    <n v="1650"/>
    <s v="kg"/>
    <n v="13500"/>
    <n v="22275000"/>
  </r>
  <r>
    <s v="INV150125015"/>
    <x v="12"/>
    <x v="14"/>
    <x v="14"/>
    <x v="0"/>
    <x v="3"/>
    <x v="3"/>
    <n v="2890"/>
    <s v="kg"/>
    <n v="9500"/>
    <n v="27455000"/>
  </r>
  <r>
    <s v="INV160125016"/>
    <x v="13"/>
    <x v="15"/>
    <x v="15"/>
    <x v="1"/>
    <x v="4"/>
    <x v="4"/>
    <n v="3200"/>
    <s v="kg"/>
    <n v="11000"/>
    <n v="35200000"/>
  </r>
  <r>
    <s v="INV170125017"/>
    <x v="14"/>
    <x v="16"/>
    <x v="16"/>
    <x v="2"/>
    <x v="5"/>
    <x v="5"/>
    <n v="1425"/>
    <s v="kg"/>
    <n v="9000"/>
    <n v="12825000"/>
  </r>
  <r>
    <s v="INV180125018"/>
    <x v="15"/>
    <x v="17"/>
    <x v="17"/>
    <x v="3"/>
    <x v="6"/>
    <x v="6"/>
    <n v="2780"/>
    <s v="kg"/>
    <n v="11500"/>
    <n v="31970000"/>
  </r>
  <r>
    <s v="INV190125019"/>
    <x v="16"/>
    <x v="18"/>
    <x v="18"/>
    <x v="4"/>
    <x v="7"/>
    <x v="7"/>
    <n v="3340"/>
    <s v="kg"/>
    <n v="8500"/>
    <n v="28390000"/>
  </r>
  <r>
    <s v="INV200125020"/>
    <x v="17"/>
    <x v="19"/>
    <x v="19"/>
    <x v="5"/>
    <x v="8"/>
    <x v="8"/>
    <n v="2450"/>
    <s v="kg"/>
    <n v="12000"/>
    <n v="29400000"/>
  </r>
  <r>
    <s v="INV220125021"/>
    <x v="18"/>
    <x v="20"/>
    <x v="20"/>
    <x v="6"/>
    <x v="9"/>
    <x v="9"/>
    <n v="1870"/>
    <s v="kg"/>
    <n v="10500"/>
    <n v="19635000"/>
  </r>
  <r>
    <s v="INV240125022"/>
    <x v="19"/>
    <x v="21"/>
    <x v="21"/>
    <x v="0"/>
    <x v="10"/>
    <x v="10"/>
    <n v="2990"/>
    <s v="kg"/>
    <n v="14500"/>
    <n v="43355000"/>
  </r>
  <r>
    <s v="INV260125023"/>
    <x v="20"/>
    <x v="22"/>
    <x v="22"/>
    <x v="1"/>
    <x v="1"/>
    <x v="1"/>
    <n v="2150"/>
    <s v="kg"/>
    <n v="10000"/>
    <n v="21500000"/>
  </r>
  <r>
    <s v="INV290125024"/>
    <x v="21"/>
    <x v="23"/>
    <x v="23"/>
    <x v="2"/>
    <x v="2"/>
    <x v="2"/>
    <n v="1980"/>
    <s v="kg"/>
    <n v="13500"/>
    <n v="26730000"/>
  </r>
  <r>
    <s v="INV010225001"/>
    <x v="22"/>
    <x v="24"/>
    <x v="24"/>
    <x v="3"/>
    <x v="3"/>
    <x v="3"/>
    <n v="3100"/>
    <s v="kg"/>
    <n v="9500"/>
    <n v="29450000"/>
  </r>
  <r>
    <s v="INV030225002"/>
    <x v="23"/>
    <x v="25"/>
    <x v="25"/>
    <x v="0"/>
    <x v="0"/>
    <x v="0"/>
    <n v="2400"/>
    <s v="kg"/>
    <n v="12500"/>
    <n v="30000000"/>
  </r>
  <r>
    <s v="INV040225003"/>
    <x v="24"/>
    <x v="26"/>
    <x v="26"/>
    <x v="1"/>
    <x v="2"/>
    <x v="2"/>
    <n v="1850"/>
    <s v="kg"/>
    <n v="13500"/>
    <n v="24975000"/>
  </r>
  <r>
    <s v="INV050225004"/>
    <x v="25"/>
    <x v="27"/>
    <x v="27"/>
    <x v="3"/>
    <x v="1"/>
    <x v="1"/>
    <n v="3150"/>
    <s v="kg"/>
    <n v="10000"/>
    <n v="31500000"/>
  </r>
  <r>
    <s v="INV050225005"/>
    <x v="25"/>
    <x v="28"/>
    <x v="28"/>
    <x v="4"/>
    <x v="4"/>
    <x v="4"/>
    <n v="2950"/>
    <s v="kg"/>
    <n v="11000"/>
    <n v="32450000"/>
  </r>
  <r>
    <s v="INV060225006"/>
    <x v="26"/>
    <x v="29"/>
    <x v="29"/>
    <x v="5"/>
    <x v="5"/>
    <x v="5"/>
    <n v="1700"/>
    <s v="kg"/>
    <n v="9000"/>
    <n v="15300000"/>
  </r>
  <r>
    <s v="INV060225007"/>
    <x v="26"/>
    <x v="30"/>
    <x v="30"/>
    <x v="2"/>
    <x v="3"/>
    <x v="3"/>
    <n v="2650"/>
    <s v="kg"/>
    <n v="9500"/>
    <n v="25175000"/>
  </r>
  <r>
    <s v="INV070225008"/>
    <x v="27"/>
    <x v="31"/>
    <x v="31"/>
    <x v="6"/>
    <x v="6"/>
    <x v="6"/>
    <n v="1425"/>
    <s v="kg"/>
    <n v="11500"/>
    <n v="16387500"/>
  </r>
  <r>
    <s v="INV070225009"/>
    <x v="27"/>
    <x v="32"/>
    <x v="32"/>
    <x v="1"/>
    <x v="7"/>
    <x v="7"/>
    <n v="3350"/>
    <s v="kg"/>
    <n v="8500"/>
    <n v="28475000"/>
  </r>
  <r>
    <s v="INV080225010"/>
    <x v="28"/>
    <x v="33"/>
    <x v="33"/>
    <x v="0"/>
    <x v="0"/>
    <x v="0"/>
    <n v="2100"/>
    <s v="kg"/>
    <n v="12500"/>
    <n v="26250000"/>
  </r>
  <r>
    <s v="INV080225011"/>
    <x v="28"/>
    <x v="34"/>
    <x v="34"/>
    <x v="3"/>
    <x v="10"/>
    <x v="10"/>
    <n v="3900"/>
    <s v="kg"/>
    <n v="14500"/>
    <n v="56550000"/>
  </r>
  <r>
    <s v="INV090225012"/>
    <x v="29"/>
    <x v="35"/>
    <x v="35"/>
    <x v="4"/>
    <x v="8"/>
    <x v="8"/>
    <n v="2500"/>
    <s v="kg"/>
    <n v="12000"/>
    <n v="30000000"/>
  </r>
  <r>
    <s v="INV090225013"/>
    <x v="29"/>
    <x v="36"/>
    <x v="36"/>
    <x v="5"/>
    <x v="2"/>
    <x v="2"/>
    <n v="1780"/>
    <s v="kg"/>
    <n v="13500"/>
    <n v="24030000"/>
  </r>
  <r>
    <s v="INV100225014"/>
    <x v="30"/>
    <x v="37"/>
    <x v="37"/>
    <x v="2"/>
    <x v="1"/>
    <x v="1"/>
    <n v="3200"/>
    <s v="kg"/>
    <n v="10000"/>
    <n v="32000000"/>
  </r>
  <r>
    <s v="INV100225015"/>
    <x v="30"/>
    <x v="38"/>
    <x v="38"/>
    <x v="1"/>
    <x v="0"/>
    <x v="0"/>
    <n v="2980"/>
    <s v="kg"/>
    <n v="12500"/>
    <n v="37250000"/>
  </r>
  <r>
    <s v="INV110225016"/>
    <x v="31"/>
    <x v="39"/>
    <x v="39"/>
    <x v="6"/>
    <x v="3"/>
    <x v="3"/>
    <n v="2300"/>
    <s v="kg"/>
    <n v="9500"/>
    <n v="21850000"/>
  </r>
  <r>
    <s v="INV110225017"/>
    <x v="31"/>
    <x v="40"/>
    <x v="40"/>
    <x v="3"/>
    <x v="5"/>
    <x v="5"/>
    <n v="3100"/>
    <s v="kg"/>
    <n v="9000"/>
    <n v="27900000"/>
  </r>
  <r>
    <s v="INV120225018"/>
    <x v="32"/>
    <x v="41"/>
    <x v="41"/>
    <x v="0"/>
    <x v="9"/>
    <x v="9"/>
    <n v="1600"/>
    <s v="kg"/>
    <n v="10500"/>
    <n v="16800000"/>
  </r>
  <r>
    <s v="INV120225019"/>
    <x v="32"/>
    <x v="42"/>
    <x v="42"/>
    <x v="4"/>
    <x v="4"/>
    <x v="4"/>
    <n v="2750"/>
    <s v="kg"/>
    <n v="11000"/>
    <n v="30250000"/>
  </r>
  <r>
    <s v="INV130225020"/>
    <x v="33"/>
    <x v="43"/>
    <x v="43"/>
    <x v="1"/>
    <x v="10"/>
    <x v="10"/>
    <n v="3550"/>
    <s v="kg"/>
    <n v="14500"/>
    <n v="51475000"/>
  </r>
  <r>
    <s v="INV130225021"/>
    <x v="33"/>
    <x v="44"/>
    <x v="44"/>
    <x v="5"/>
    <x v="1"/>
    <x v="1"/>
    <n v="2900"/>
    <s v="kg"/>
    <n v="10000"/>
    <n v="29000000"/>
  </r>
  <r>
    <s v="INV140225022"/>
    <x v="34"/>
    <x v="45"/>
    <x v="45"/>
    <x v="2"/>
    <x v="8"/>
    <x v="8"/>
    <n v="2600"/>
    <s v="kg"/>
    <n v="12000"/>
    <n v="31200000"/>
  </r>
  <r>
    <s v="INV150225023"/>
    <x v="35"/>
    <x v="46"/>
    <x v="46"/>
    <x v="3"/>
    <x v="3"/>
    <x v="3"/>
    <n v="3450"/>
    <s v="kg"/>
    <n v="9500"/>
    <n v="32775000"/>
  </r>
  <r>
    <s v="INV160225024"/>
    <x v="36"/>
    <x v="47"/>
    <x v="47"/>
    <x v="6"/>
    <x v="6"/>
    <x v="6"/>
    <n v="1750"/>
    <s v="kg"/>
    <n v="11500"/>
    <n v="20125000"/>
  </r>
  <r>
    <s v="INV170225025"/>
    <x v="37"/>
    <x v="48"/>
    <x v="48"/>
    <x v="4"/>
    <x v="7"/>
    <x v="7"/>
    <n v="3050"/>
    <s v="kg"/>
    <n v="8500"/>
    <n v="25925000"/>
  </r>
  <r>
    <s v="INV180225026"/>
    <x v="38"/>
    <x v="49"/>
    <x v="49"/>
    <x v="0"/>
    <x v="0"/>
    <x v="0"/>
    <n v="2850"/>
    <s v="kg"/>
    <n v="12500"/>
    <n v="35625000"/>
  </r>
  <r>
    <s v="INV030325001"/>
    <x v="39"/>
    <x v="50"/>
    <x v="50"/>
    <x v="0"/>
    <x v="0"/>
    <x v="0"/>
    <n v="2100"/>
    <s v="kg"/>
    <n v="12500"/>
    <n v="26250000"/>
  </r>
  <r>
    <s v="INV040325002"/>
    <x v="40"/>
    <x v="51"/>
    <x v="51"/>
    <x v="1"/>
    <x v="1"/>
    <x v="1"/>
    <n v="3200"/>
    <s v="kg"/>
    <n v="10000"/>
    <n v="32000000"/>
  </r>
  <r>
    <s v="INV050325003"/>
    <x v="41"/>
    <x v="52"/>
    <x v="52"/>
    <x v="2"/>
    <x v="2"/>
    <x v="2"/>
    <n v="1850"/>
    <s v="kg"/>
    <n v="13500"/>
    <n v="24975000"/>
  </r>
  <r>
    <s v="INV060325004"/>
    <x v="42"/>
    <x v="53"/>
    <x v="53"/>
    <x v="3"/>
    <x v="3"/>
    <x v="3"/>
    <n v="2400"/>
    <s v="kg"/>
    <n v="9500"/>
    <n v="22800000"/>
  </r>
  <r>
    <s v="INV060325005"/>
    <x v="42"/>
    <x v="54"/>
    <x v="54"/>
    <x v="4"/>
    <x v="4"/>
    <x v="4"/>
    <n v="2950"/>
    <s v="kg"/>
    <n v="11000"/>
    <n v="32450000"/>
  </r>
  <r>
    <s v="INV070325006"/>
    <x v="43"/>
    <x v="55"/>
    <x v="55"/>
    <x v="5"/>
    <x v="5"/>
    <x v="5"/>
    <n v="3100"/>
    <s v="kg"/>
    <n v="9000"/>
    <n v="27900000"/>
  </r>
  <r>
    <s v="INV080325007"/>
    <x v="44"/>
    <x v="56"/>
    <x v="56"/>
    <x v="6"/>
    <x v="6"/>
    <x v="6"/>
    <n v="1500"/>
    <s v="kg"/>
    <n v="11500"/>
    <n v="17250000"/>
  </r>
  <r>
    <s v="INV080325008"/>
    <x v="44"/>
    <x v="57"/>
    <x v="57"/>
    <x v="0"/>
    <x v="7"/>
    <x v="7"/>
    <n v="2700"/>
    <s v="kg"/>
    <n v="8500"/>
    <n v="22950000"/>
  </r>
  <r>
    <s v="INV090325009"/>
    <x v="45"/>
    <x v="58"/>
    <x v="58"/>
    <x v="1"/>
    <x v="8"/>
    <x v="8"/>
    <n v="1980"/>
    <s v="kg"/>
    <n v="12000"/>
    <n v="23760000"/>
  </r>
  <r>
    <s v="INV100325010"/>
    <x v="46"/>
    <x v="59"/>
    <x v="59"/>
    <x v="2"/>
    <x v="10"/>
    <x v="10"/>
    <n v="3300"/>
    <s v="kg"/>
    <n v="14500"/>
    <n v="47850000"/>
  </r>
  <r>
    <s v="INV110325011"/>
    <x v="47"/>
    <x v="60"/>
    <x v="60"/>
    <x v="3"/>
    <x v="0"/>
    <x v="0"/>
    <n v="2105"/>
    <s v="kg"/>
    <n v="12500"/>
    <n v="26312500"/>
  </r>
  <r>
    <s v="INV120325012"/>
    <x v="48"/>
    <x v="61"/>
    <x v="61"/>
    <x v="4"/>
    <x v="1"/>
    <x v="1"/>
    <n v="2870"/>
    <s v="kg"/>
    <n v="10000"/>
    <n v="28700000"/>
  </r>
  <r>
    <s v="INV130325013"/>
    <x v="49"/>
    <x v="62"/>
    <x v="62"/>
    <x v="5"/>
    <x v="2"/>
    <x v="2"/>
    <n v="2200"/>
    <s v="kg"/>
    <n v="13500"/>
    <n v="29700000"/>
  </r>
  <r>
    <s v="INV140325014"/>
    <x v="50"/>
    <x v="63"/>
    <x v="63"/>
    <x v="6"/>
    <x v="3"/>
    <x v="3"/>
    <n v="2500"/>
    <s v="kg"/>
    <n v="9500"/>
    <n v="23750000"/>
  </r>
  <r>
    <s v="INV150325015"/>
    <x v="51"/>
    <x v="64"/>
    <x v="64"/>
    <x v="0"/>
    <x v="4"/>
    <x v="4"/>
    <n v="3100"/>
    <s v="kg"/>
    <n v="11000"/>
    <n v="34100000"/>
  </r>
  <r>
    <s v="INV160325016"/>
    <x v="52"/>
    <x v="65"/>
    <x v="65"/>
    <x v="1"/>
    <x v="5"/>
    <x v="5"/>
    <n v="2900"/>
    <s v="kg"/>
    <n v="9000"/>
    <n v="26100000"/>
  </r>
  <r>
    <s v="INV180325017"/>
    <x v="53"/>
    <x v="66"/>
    <x v="66"/>
    <x v="2"/>
    <x v="6"/>
    <x v="6"/>
    <n v="1700"/>
    <s v="kg"/>
    <n v="11500"/>
    <n v="19550000"/>
  </r>
  <r>
    <s v="INV190325018"/>
    <x v="54"/>
    <x v="67"/>
    <x v="67"/>
    <x v="3"/>
    <x v="7"/>
    <x v="7"/>
    <n v="2600"/>
    <s v="kg"/>
    <n v="8500"/>
    <n v="22100000"/>
  </r>
  <r>
    <s v="INV210325019"/>
    <x v="55"/>
    <x v="68"/>
    <x v="68"/>
    <x v="4"/>
    <x v="8"/>
    <x v="8"/>
    <n v="2400"/>
    <s v="kg"/>
    <n v="12000"/>
    <n v="28800000"/>
  </r>
  <r>
    <s v="INV230325020"/>
    <x v="56"/>
    <x v="69"/>
    <x v="69"/>
    <x v="5"/>
    <x v="0"/>
    <x v="0"/>
    <n v="3100"/>
    <s v="kg"/>
    <n v="12500"/>
    <n v="38750000"/>
  </r>
  <r>
    <s v="INV240325021"/>
    <x v="57"/>
    <x v="70"/>
    <x v="70"/>
    <x v="6"/>
    <x v="2"/>
    <x v="2"/>
    <n v="2250"/>
    <s v="kg"/>
    <n v="13500"/>
    <n v="30375000"/>
  </r>
  <r>
    <s v="INV260325022"/>
    <x v="58"/>
    <x v="71"/>
    <x v="71"/>
    <x v="0"/>
    <x v="10"/>
    <x v="10"/>
    <n v="3450"/>
    <s v="kg"/>
    <n v="14500"/>
    <n v="50025000"/>
  </r>
  <r>
    <s v="INV280325023"/>
    <x v="59"/>
    <x v="72"/>
    <x v="72"/>
    <x v="1"/>
    <x v="3"/>
    <x v="3"/>
    <n v="2800"/>
    <s v="kg"/>
    <n v="9500"/>
    <n v="26600000"/>
  </r>
  <r>
    <s v="INV300325024"/>
    <x v="60"/>
    <x v="73"/>
    <x v="73"/>
    <x v="2"/>
    <x v="1"/>
    <x v="1"/>
    <n v="2600"/>
    <s v="kg"/>
    <n v="10000"/>
    <n v="26000000"/>
  </r>
  <r>
    <s v="INV310325025"/>
    <x v="61"/>
    <x v="74"/>
    <x v="74"/>
    <x v="3"/>
    <x v="4"/>
    <x v="4"/>
    <n v="2950"/>
    <s v="kg"/>
    <n v="11000"/>
    <n v="32450000"/>
  </r>
  <r>
    <s v="INV030425001"/>
    <x v="62"/>
    <x v="75"/>
    <x v="75"/>
    <x v="0"/>
    <x v="0"/>
    <x v="0"/>
    <n v="1850"/>
    <s v="kg"/>
    <n v="12500"/>
    <n v="23125000"/>
  </r>
  <r>
    <s v="INV040425002"/>
    <x v="63"/>
    <x v="76"/>
    <x v="76"/>
    <x v="1"/>
    <x v="1"/>
    <x v="1"/>
    <n v="2450"/>
    <s v="kg"/>
    <n v="10000"/>
    <n v="24500000"/>
  </r>
  <r>
    <s v="INV040425003"/>
    <x v="63"/>
    <x v="77"/>
    <x v="77"/>
    <x v="3"/>
    <x v="2"/>
    <x v="2"/>
    <n v="2100"/>
    <s v="kg"/>
    <n v="13500"/>
    <n v="28350000"/>
  </r>
  <r>
    <s v="INV060425004"/>
    <x v="64"/>
    <x v="78"/>
    <x v="78"/>
    <x v="2"/>
    <x v="3"/>
    <x v="3"/>
    <n v="1980"/>
    <s v="kg"/>
    <n v="9500"/>
    <n v="18810000"/>
  </r>
  <r>
    <s v="INV060425005"/>
    <x v="64"/>
    <x v="79"/>
    <x v="79"/>
    <x v="4"/>
    <x v="4"/>
    <x v="4"/>
    <n v="2750"/>
    <s v="kg"/>
    <n v="11000"/>
    <n v="30250000"/>
  </r>
  <r>
    <s v="INV070425006"/>
    <x v="65"/>
    <x v="80"/>
    <x v="80"/>
    <x v="5"/>
    <x v="5"/>
    <x v="5"/>
    <n v="2330"/>
    <s v="kg"/>
    <n v="9000"/>
    <n v="20970000"/>
  </r>
  <r>
    <s v="INV080425007"/>
    <x v="66"/>
    <x v="81"/>
    <x v="81"/>
    <x v="6"/>
    <x v="6"/>
    <x v="6"/>
    <n v="1650"/>
    <s v="kg"/>
    <n v="11500"/>
    <n v="18975000"/>
  </r>
  <r>
    <s v="INV080425008"/>
    <x v="66"/>
    <x v="82"/>
    <x v="82"/>
    <x v="0"/>
    <x v="7"/>
    <x v="7"/>
    <n v="2890"/>
    <s v="kg"/>
    <n v="8500"/>
    <n v="24565000"/>
  </r>
  <r>
    <s v="INV090425009"/>
    <x v="67"/>
    <x v="83"/>
    <x v="83"/>
    <x v="1"/>
    <x v="8"/>
    <x v="8"/>
    <n v="3150"/>
    <s v="kg"/>
    <n v="12000"/>
    <n v="37800000"/>
  </r>
  <r>
    <s v="INV100425010"/>
    <x v="68"/>
    <x v="84"/>
    <x v="84"/>
    <x v="3"/>
    <x v="0"/>
    <x v="0"/>
    <n v="1990"/>
    <s v="kg"/>
    <n v="12500"/>
    <n v="24875000"/>
  </r>
  <r>
    <s v="INV110425011"/>
    <x v="69"/>
    <x v="85"/>
    <x v="85"/>
    <x v="4"/>
    <x v="1"/>
    <x v="1"/>
    <n v="2210"/>
    <s v="kg"/>
    <n v="10000"/>
    <n v="22100000"/>
  </r>
  <r>
    <s v="INV110425012"/>
    <x v="69"/>
    <x v="86"/>
    <x v="86"/>
    <x v="2"/>
    <x v="9"/>
    <x v="9"/>
    <n v="1870"/>
    <s v="kg"/>
    <n v="10500"/>
    <n v="19635000"/>
  </r>
  <r>
    <s v="INV150425013"/>
    <x v="70"/>
    <x v="87"/>
    <x v="87"/>
    <x v="5"/>
    <x v="10"/>
    <x v="10"/>
    <n v="3200"/>
    <s v="kg"/>
    <n v="14500"/>
    <n v="46400000"/>
  </r>
  <r>
    <s v="INV150425014"/>
    <x v="70"/>
    <x v="88"/>
    <x v="88"/>
    <x v="6"/>
    <x v="2"/>
    <x v="2"/>
    <n v="1780"/>
    <s v="kg"/>
    <n v="13500"/>
    <n v="24030000"/>
  </r>
  <r>
    <s v="INV160425015"/>
    <x v="71"/>
    <x v="89"/>
    <x v="89"/>
    <x v="0"/>
    <x v="4"/>
    <x v="4"/>
    <n v="2640"/>
    <s v="kg"/>
    <n v="11000"/>
    <n v="29040000"/>
  </r>
  <r>
    <s v="INV180425016"/>
    <x v="72"/>
    <x v="90"/>
    <x v="90"/>
    <x v="1"/>
    <x v="7"/>
    <x v="7"/>
    <n v="3010"/>
    <s v="kg"/>
    <n v="8500"/>
    <n v="25585000"/>
  </r>
  <r>
    <s v="INV180425017"/>
    <x v="72"/>
    <x v="91"/>
    <x v="91"/>
    <x v="3"/>
    <x v="3"/>
    <x v="3"/>
    <n v="2190"/>
    <s v="kg"/>
    <n v="9500"/>
    <n v="20805000"/>
  </r>
  <r>
    <s v="INV190425018"/>
    <x v="73"/>
    <x v="92"/>
    <x v="92"/>
    <x v="4"/>
    <x v="8"/>
    <x v="8"/>
    <n v="2440"/>
    <s v="kg"/>
    <n v="12000"/>
    <n v="29280000"/>
  </r>
  <r>
    <s v="INV230425019"/>
    <x v="74"/>
    <x v="93"/>
    <x v="93"/>
    <x v="2"/>
    <x v="5"/>
    <x v="5"/>
    <n v="2310"/>
    <s v="kg"/>
    <n v="9000"/>
    <n v="20790000"/>
  </r>
  <r>
    <s v="INV230425020"/>
    <x v="74"/>
    <x v="94"/>
    <x v="94"/>
    <x v="5"/>
    <x v="0"/>
    <x v="0"/>
    <n v="2950"/>
    <s v="kg"/>
    <n v="12500"/>
    <n v="36875000"/>
  </r>
  <r>
    <s v="INV240425021"/>
    <x v="75"/>
    <x v="95"/>
    <x v="95"/>
    <x v="6"/>
    <x v="1"/>
    <x v="1"/>
    <n v="2075"/>
    <s v="kg"/>
    <n v="10000"/>
    <n v="20750000"/>
  </r>
  <r>
    <s v="INV270425022"/>
    <x v="76"/>
    <x v="96"/>
    <x v="96"/>
    <x v="3"/>
    <x v="9"/>
    <x v="9"/>
    <n v="1880"/>
    <s v="kg"/>
    <n v="10500"/>
    <n v="19740000"/>
  </r>
  <r>
    <s v="INV270425023"/>
    <x v="76"/>
    <x v="97"/>
    <x v="97"/>
    <x v="4"/>
    <x v="2"/>
    <x v="2"/>
    <n v="2540"/>
    <s v="kg"/>
    <n v="13500"/>
    <n v="34290000"/>
  </r>
  <r>
    <s v="INV280425024"/>
    <x v="77"/>
    <x v="98"/>
    <x v="98"/>
    <x v="1"/>
    <x v="10"/>
    <x v="10"/>
    <n v="3360"/>
    <s v="kg"/>
    <n v="14500"/>
    <n v="48720000"/>
  </r>
  <r>
    <s v="INV300425025"/>
    <x v="78"/>
    <x v="99"/>
    <x v="99"/>
    <x v="0"/>
    <x v="3"/>
    <x v="3"/>
    <n v="2010"/>
    <s v="kg"/>
    <n v="9500"/>
    <n v="19095000"/>
  </r>
  <r>
    <s v="INV300425026"/>
    <x v="78"/>
    <x v="100"/>
    <x v="100"/>
    <x v="2"/>
    <x v="4"/>
    <x v="4"/>
    <n v="2675"/>
    <s v="kg"/>
    <n v="11000"/>
    <n v="29425000"/>
  </r>
  <r>
    <s v="INV010525001"/>
    <x v="79"/>
    <x v="101"/>
    <x v="101"/>
    <x v="5"/>
    <x v="7"/>
    <x v="7"/>
    <n v="2230"/>
    <s v="kg"/>
    <n v="8500"/>
    <n v="18955000"/>
  </r>
  <r>
    <s v="INV040525002"/>
    <x v="80"/>
    <x v="102"/>
    <x v="102"/>
    <x v="0"/>
    <x v="0"/>
    <x v="0"/>
    <n v="1820"/>
    <s v="kg"/>
    <n v="12500"/>
    <n v="22750000"/>
  </r>
  <r>
    <s v="INV040525003"/>
    <x v="80"/>
    <x v="103"/>
    <x v="103"/>
    <x v="1"/>
    <x v="2"/>
    <x v="2"/>
    <n v="2560"/>
    <s v="kg"/>
    <n v="13500"/>
    <n v="34560000"/>
  </r>
  <r>
    <s v="INV050525004"/>
    <x v="81"/>
    <x v="104"/>
    <x v="104"/>
    <x v="2"/>
    <x v="1"/>
    <x v="1"/>
    <n v="3100"/>
    <s v="kg"/>
    <n v="10000"/>
    <n v="31000000"/>
  </r>
  <r>
    <s v="INV060525005"/>
    <x v="82"/>
    <x v="105"/>
    <x v="105"/>
    <x v="3"/>
    <x v="3"/>
    <x v="3"/>
    <n v="1450"/>
    <s v="kg"/>
    <n v="9500"/>
    <n v="13775000"/>
  </r>
  <r>
    <s v="INV070525006"/>
    <x v="83"/>
    <x v="106"/>
    <x v="106"/>
    <x v="4"/>
    <x v="5"/>
    <x v="5"/>
    <n v="2280"/>
    <s v="kg"/>
    <n v="9000"/>
    <n v="20520000"/>
  </r>
  <r>
    <s v="INV070525007"/>
    <x v="83"/>
    <x v="107"/>
    <x v="107"/>
    <x v="5"/>
    <x v="4"/>
    <x v="4"/>
    <n v="2750"/>
    <s v="kg"/>
    <n v="11000"/>
    <n v="30250000"/>
  </r>
  <r>
    <s v="INV080525008"/>
    <x v="84"/>
    <x v="108"/>
    <x v="108"/>
    <x v="6"/>
    <x v="6"/>
    <x v="6"/>
    <n v="1640"/>
    <s v="kg"/>
    <n v="11500"/>
    <n v="18860000"/>
  </r>
  <r>
    <s v="INV090525009"/>
    <x v="85"/>
    <x v="109"/>
    <x v="109"/>
    <x v="0"/>
    <x v="7"/>
    <x v="7"/>
    <n v="3050"/>
    <s v="kg"/>
    <n v="8500"/>
    <n v="25925000"/>
  </r>
  <r>
    <s v="INV100525010"/>
    <x v="86"/>
    <x v="110"/>
    <x v="110"/>
    <x v="1"/>
    <x v="10"/>
    <x v="10"/>
    <n v="1980"/>
    <s v="kg"/>
    <n v="14500"/>
    <n v="28710000"/>
  </r>
  <r>
    <s v="INV110525011"/>
    <x v="87"/>
    <x v="111"/>
    <x v="111"/>
    <x v="2"/>
    <x v="9"/>
    <x v="9"/>
    <n v="2120"/>
    <s v="kg"/>
    <n v="10500"/>
    <n v="22260000"/>
  </r>
  <r>
    <s v="INV120525012"/>
    <x v="88"/>
    <x v="112"/>
    <x v="112"/>
    <x v="3"/>
    <x v="1"/>
    <x v="1"/>
    <n v="3340"/>
    <s v="kg"/>
    <n v="10000"/>
    <n v="33400000"/>
  </r>
  <r>
    <s v="INV130525013"/>
    <x v="89"/>
    <x v="113"/>
    <x v="113"/>
    <x v="4"/>
    <x v="0"/>
    <x v="0"/>
    <n v="2890"/>
    <s v="kg"/>
    <n v="12500"/>
    <n v="36125000"/>
  </r>
  <r>
    <s v="INV140525014"/>
    <x v="90"/>
    <x v="114"/>
    <x v="114"/>
    <x v="5"/>
    <x v="2"/>
    <x v="2"/>
    <n v="1570"/>
    <s v="kg"/>
    <n v="13500"/>
    <n v="21195000"/>
  </r>
  <r>
    <s v="INV150525015"/>
    <x v="91"/>
    <x v="115"/>
    <x v="115"/>
    <x v="6"/>
    <x v="3"/>
    <x v="3"/>
    <n v="2210"/>
    <s v="kg"/>
    <n v="9500"/>
    <n v="20995000"/>
  </r>
  <r>
    <s v="INV160525016"/>
    <x v="92"/>
    <x v="116"/>
    <x v="116"/>
    <x v="0"/>
    <x v="4"/>
    <x v="4"/>
    <n v="3400"/>
    <s v="kg"/>
    <n v="11000"/>
    <n v="37400000"/>
  </r>
  <r>
    <s v="INV170525017"/>
    <x v="93"/>
    <x v="117"/>
    <x v="117"/>
    <x v="1"/>
    <x v="5"/>
    <x v="5"/>
    <n v="2755"/>
    <s v="kg"/>
    <n v="9000"/>
    <n v="24795000"/>
  </r>
  <r>
    <s v="INV180525018"/>
    <x v="94"/>
    <x v="118"/>
    <x v="118"/>
    <x v="2"/>
    <x v="10"/>
    <x v="10"/>
    <n v="1985"/>
    <s v="kg"/>
    <n v="14500"/>
    <n v="28782500"/>
  </r>
  <r>
    <s v="INV190525019"/>
    <x v="95"/>
    <x v="119"/>
    <x v="119"/>
    <x v="3"/>
    <x v="6"/>
    <x v="6"/>
    <n v="2440"/>
    <s v="kg"/>
    <n v="11500"/>
    <n v="28060000"/>
  </r>
  <r>
    <s v="INV200525020"/>
    <x v="96"/>
    <x v="120"/>
    <x v="120"/>
    <x v="4"/>
    <x v="1"/>
    <x v="1"/>
    <n v="3110"/>
    <s v="kg"/>
    <n v="10000"/>
    <n v="31100000"/>
  </r>
  <r>
    <s v="INV210525021"/>
    <x v="97"/>
    <x v="121"/>
    <x v="121"/>
    <x v="5"/>
    <x v="0"/>
    <x v="0"/>
    <n v="2680"/>
    <s v="kg"/>
    <n v="12500"/>
    <n v="33500000"/>
  </r>
  <r>
    <s v="INV220525022"/>
    <x v="98"/>
    <x v="122"/>
    <x v="122"/>
    <x v="6"/>
    <x v="7"/>
    <x v="7"/>
    <n v="1870"/>
    <s v="kg"/>
    <n v="8500"/>
    <n v="15895000"/>
  </r>
  <r>
    <s v="INV230525023"/>
    <x v="99"/>
    <x v="123"/>
    <x v="123"/>
    <x v="0"/>
    <x v="2"/>
    <x v="2"/>
    <n v="2330"/>
    <s v="kg"/>
    <n v="13500"/>
    <n v="31455000"/>
  </r>
  <r>
    <s v="INV240525024"/>
    <x v="100"/>
    <x v="124"/>
    <x v="124"/>
    <x v="1"/>
    <x v="9"/>
    <x v="9"/>
    <n v="1765"/>
    <s v="kg"/>
    <n v="10500"/>
    <n v="18532500"/>
  </r>
  <r>
    <s v="INV250525025"/>
    <x v="101"/>
    <x v="125"/>
    <x v="125"/>
    <x v="2"/>
    <x v="4"/>
    <x v="4"/>
    <n v="2950"/>
    <s v="kg"/>
    <n v="11000"/>
    <n v="32450000"/>
  </r>
  <r>
    <s v="INV260525026"/>
    <x v="102"/>
    <x v="126"/>
    <x v="126"/>
    <x v="3"/>
    <x v="5"/>
    <x v="5"/>
    <n v="3210"/>
    <s v="kg"/>
    <n v="9000"/>
    <n v="28890000"/>
  </r>
  <r>
    <s v="INV270525027"/>
    <x v="103"/>
    <x v="127"/>
    <x v="127"/>
    <x v="4"/>
    <x v="10"/>
    <x v="10"/>
    <n v="2080"/>
    <s v="kg"/>
    <n v="14500"/>
    <n v="30160000"/>
  </r>
  <r>
    <s v="INV280525028"/>
    <x v="104"/>
    <x v="128"/>
    <x v="128"/>
    <x v="5"/>
    <x v="3"/>
    <x v="3"/>
    <n v="2650"/>
    <s v="kg"/>
    <n v="9500"/>
    <n v="25175000"/>
  </r>
  <r>
    <s v="INV030625001"/>
    <x v="105"/>
    <x v="129"/>
    <x v="129"/>
    <x v="0"/>
    <x v="0"/>
    <x v="0"/>
    <n v="2150"/>
    <s v="kg"/>
    <n v="12500"/>
    <n v="26875000"/>
  </r>
  <r>
    <s v="INV040625002"/>
    <x v="106"/>
    <x v="130"/>
    <x v="130"/>
    <x v="1"/>
    <x v="2"/>
    <x v="2"/>
    <n v="1890"/>
    <s v="kg"/>
    <n v="13500"/>
    <n v="25515000"/>
  </r>
  <r>
    <s v="INV050625003"/>
    <x v="107"/>
    <x v="131"/>
    <x v="131"/>
    <x v="2"/>
    <x v="1"/>
    <x v="1"/>
    <n v="2750"/>
    <s v="kg"/>
    <n v="10000"/>
    <n v="27500000"/>
  </r>
  <r>
    <s v="INV060625004"/>
    <x v="108"/>
    <x v="132"/>
    <x v="132"/>
    <x v="3"/>
    <x v="3"/>
    <x v="3"/>
    <n v="3025"/>
    <s v="kg"/>
    <n v="9500"/>
    <n v="28737500"/>
  </r>
  <r>
    <s v="INV070625005"/>
    <x v="109"/>
    <x v="133"/>
    <x v="133"/>
    <x v="4"/>
    <x v="4"/>
    <x v="4"/>
    <n v="1540"/>
    <s v="kg"/>
    <n v="11000"/>
    <n v="16940000"/>
  </r>
  <r>
    <s v="INV080625006"/>
    <x v="110"/>
    <x v="134"/>
    <x v="134"/>
    <x v="5"/>
    <x v="5"/>
    <x v="5"/>
    <n v="3320"/>
    <s v="kg"/>
    <n v="9000"/>
    <n v="29880000"/>
  </r>
  <r>
    <s v="INV090625007"/>
    <x v="111"/>
    <x v="135"/>
    <x v="135"/>
    <x v="6"/>
    <x v="6"/>
    <x v="6"/>
    <n v="1780"/>
    <s v="kg"/>
    <n v="11500"/>
    <n v="20470000"/>
  </r>
  <r>
    <s v="INV100625008"/>
    <x v="112"/>
    <x v="136"/>
    <x v="136"/>
    <x v="0"/>
    <x v="7"/>
    <x v="7"/>
    <n v="2980"/>
    <s v="kg"/>
    <n v="8500"/>
    <n v="25330000"/>
  </r>
  <r>
    <s v="INV110625009"/>
    <x v="113"/>
    <x v="137"/>
    <x v="137"/>
    <x v="1"/>
    <x v="8"/>
    <x v="8"/>
    <n v="2410"/>
    <s v="kg"/>
    <n v="12000"/>
    <n v="28920000"/>
  </r>
  <r>
    <s v="INV120625010"/>
    <x v="114"/>
    <x v="138"/>
    <x v="138"/>
    <x v="2"/>
    <x v="10"/>
    <x v="10"/>
    <n v="3650"/>
    <s v="kg"/>
    <n v="14500"/>
    <n v="52925000"/>
  </r>
  <r>
    <s v="INV130625011"/>
    <x v="115"/>
    <x v="139"/>
    <x v="139"/>
    <x v="3"/>
    <x v="0"/>
    <x v="0"/>
    <n v="1875"/>
    <s v="kg"/>
    <n v="12500"/>
    <n v="23437500"/>
  </r>
  <r>
    <s v="INV140625012"/>
    <x v="116"/>
    <x v="140"/>
    <x v="140"/>
    <x v="4"/>
    <x v="2"/>
    <x v="2"/>
    <n v="2100"/>
    <s v="kg"/>
    <n v="13500"/>
    <n v="28350000"/>
  </r>
  <r>
    <s v="INV150625013"/>
    <x v="117"/>
    <x v="141"/>
    <x v="141"/>
    <x v="5"/>
    <x v="3"/>
    <x v="3"/>
    <n v="2990"/>
    <s v="kg"/>
    <n v="9500"/>
    <n v="28405000"/>
  </r>
  <r>
    <s v="INV160625014"/>
    <x v="118"/>
    <x v="142"/>
    <x v="142"/>
    <x v="6"/>
    <x v="1"/>
    <x v="1"/>
    <n v="2550"/>
    <s v="kg"/>
    <n v="10000"/>
    <n v="25500000"/>
  </r>
  <r>
    <s v="INV170625015"/>
    <x v="119"/>
    <x v="143"/>
    <x v="143"/>
    <x v="0"/>
    <x v="5"/>
    <x v="5"/>
    <n v="3210"/>
    <s v="kg"/>
    <n v="9000"/>
    <n v="28890000"/>
  </r>
  <r>
    <s v="INV180625016"/>
    <x v="120"/>
    <x v="144"/>
    <x v="144"/>
    <x v="1"/>
    <x v="4"/>
    <x v="4"/>
    <n v="1980"/>
    <s v="kg"/>
    <n v="11000"/>
    <n v="21780000"/>
  </r>
  <r>
    <s v="INV190625017"/>
    <x v="121"/>
    <x v="145"/>
    <x v="145"/>
    <x v="2"/>
    <x v="6"/>
    <x v="6"/>
    <n v="1420"/>
    <s v="kg"/>
    <n v="11500"/>
    <n v="16330000"/>
  </r>
  <r>
    <s v="INV200625018"/>
    <x v="122"/>
    <x v="146"/>
    <x v="146"/>
    <x v="3"/>
    <x v="7"/>
    <x v="7"/>
    <n v="2890"/>
    <s v="kg"/>
    <n v="8500"/>
    <n v="24565000"/>
  </r>
  <r>
    <s v="INV210625019"/>
    <x v="123"/>
    <x v="147"/>
    <x v="147"/>
    <x v="4"/>
    <x v="8"/>
    <x v="8"/>
    <n v="2470"/>
    <s v="kg"/>
    <n v="12000"/>
    <n v="29640000"/>
  </r>
  <r>
    <s v="INV220625020"/>
    <x v="124"/>
    <x v="148"/>
    <x v="148"/>
    <x v="5"/>
    <x v="10"/>
    <x v="10"/>
    <n v="3750"/>
    <s v="kg"/>
    <n v="14500"/>
    <n v="54375000"/>
  </r>
  <r>
    <s v="INV230625021"/>
    <x v="125"/>
    <x v="149"/>
    <x v="149"/>
    <x v="6"/>
    <x v="0"/>
    <x v="0"/>
    <n v="2230"/>
    <s v="kg"/>
    <n v="12500"/>
    <n v="27875000"/>
  </r>
  <r>
    <s v="INV240625022"/>
    <x v="126"/>
    <x v="150"/>
    <x v="150"/>
    <x v="0"/>
    <x v="2"/>
    <x v="2"/>
    <n v="2680"/>
    <s v="kg"/>
    <n v="13500"/>
    <n v="36180000"/>
  </r>
  <r>
    <s v="INV250625023"/>
    <x v="127"/>
    <x v="151"/>
    <x v="151"/>
    <x v="1"/>
    <x v="3"/>
    <x v="3"/>
    <n v="3140"/>
    <s v="kg"/>
    <n v="9500"/>
    <n v="29830000"/>
  </r>
  <r>
    <s v="INV260625024"/>
    <x v="128"/>
    <x v="152"/>
    <x v="152"/>
    <x v="2"/>
    <x v="5"/>
    <x v="5"/>
    <n v="2980"/>
    <s v="kg"/>
    <n v="9000"/>
    <n v="26820000"/>
  </r>
  <r>
    <s v="INV270625025"/>
    <x v="129"/>
    <x v="153"/>
    <x v="153"/>
    <x v="3"/>
    <x v="4"/>
    <x v="4"/>
    <n v="1850"/>
    <s v="kg"/>
    <n v="11000"/>
    <n v="20350000"/>
  </r>
  <r>
    <s v="INV280625026"/>
    <x v="130"/>
    <x v="154"/>
    <x v="154"/>
    <x v="4"/>
    <x v="6"/>
    <x v="6"/>
    <n v="2360"/>
    <s v="kg"/>
    <n v="11500"/>
    <n v="27140000"/>
  </r>
  <r>
    <s v="INV030725001"/>
    <x v="131"/>
    <x v="155"/>
    <x v="155"/>
    <x v="0"/>
    <x v="0"/>
    <x v="0"/>
    <n v="2450"/>
    <s v="kg"/>
    <n v="12500"/>
    <n v="30625000"/>
  </r>
  <r>
    <s v="INV040725002"/>
    <x v="132"/>
    <x v="156"/>
    <x v="156"/>
    <x v="1"/>
    <x v="1"/>
    <x v="1"/>
    <n v="3100"/>
    <s v="kg"/>
    <n v="10000"/>
    <n v="31000000"/>
  </r>
  <r>
    <s v="INV040725003"/>
    <x v="132"/>
    <x v="157"/>
    <x v="157"/>
    <x v="2"/>
    <x v="2"/>
    <x v="2"/>
    <n v="1980"/>
    <s v="kg"/>
    <n v="13500"/>
    <n v="26730000"/>
  </r>
  <r>
    <s v="INV050725004"/>
    <x v="133"/>
    <x v="158"/>
    <x v="158"/>
    <x v="3"/>
    <x v="3"/>
    <x v="3"/>
    <n v="2875"/>
    <s v="kg"/>
    <n v="9500"/>
    <n v="27312500"/>
  </r>
  <r>
    <s v="INV050725005"/>
    <x v="133"/>
    <x v="159"/>
    <x v="159"/>
    <x v="4"/>
    <x v="4"/>
    <x v="4"/>
    <n v="1650"/>
    <s v="kg"/>
    <n v="11000"/>
    <n v="18150000"/>
  </r>
  <r>
    <s v="INV060725006"/>
    <x v="134"/>
    <x v="160"/>
    <x v="160"/>
    <x v="5"/>
    <x v="5"/>
    <x v="5"/>
    <n v="3420"/>
    <s v="kg"/>
    <n v="9000"/>
    <n v="30780000"/>
  </r>
  <r>
    <s v="INV060725007"/>
    <x v="134"/>
    <x v="161"/>
    <x v="161"/>
    <x v="6"/>
    <x v="6"/>
    <x v="6"/>
    <n v="2210"/>
    <s v="kg"/>
    <n v="11500"/>
    <n v="25415000"/>
  </r>
  <r>
    <s v="INV070725008"/>
    <x v="135"/>
    <x v="162"/>
    <x v="162"/>
    <x v="0"/>
    <x v="7"/>
    <x v="7"/>
    <n v="3150"/>
    <s v="kg"/>
    <n v="8500"/>
    <n v="26775000"/>
  </r>
  <r>
    <s v="INV070725009"/>
    <x v="135"/>
    <x v="163"/>
    <x v="163"/>
    <x v="1"/>
    <x v="0"/>
    <x v="0"/>
    <n v="1890"/>
    <s v="kg"/>
    <n v="12500"/>
    <n v="23625000"/>
  </r>
  <r>
    <s v="INV080725010"/>
    <x v="136"/>
    <x v="164"/>
    <x v="164"/>
    <x v="2"/>
    <x v="2"/>
    <x v="2"/>
    <n v="2765"/>
    <s v="kg"/>
    <n v="13500"/>
    <n v="37327500"/>
  </r>
  <r>
    <s v="INV080725011"/>
    <x v="136"/>
    <x v="165"/>
    <x v="165"/>
    <x v="3"/>
    <x v="9"/>
    <x v="9"/>
    <n v="2050"/>
    <s v="kg"/>
    <n v="10500"/>
    <n v="21525000"/>
  </r>
  <r>
    <s v="INV080725012"/>
    <x v="136"/>
    <x v="166"/>
    <x v="166"/>
    <x v="4"/>
    <x v="8"/>
    <x v="8"/>
    <n v="2950"/>
    <s v="kg"/>
    <n v="12000"/>
    <n v="35400000"/>
  </r>
  <r>
    <s v="INV090725013"/>
    <x v="137"/>
    <x v="167"/>
    <x v="167"/>
    <x v="5"/>
    <x v="1"/>
    <x v="1"/>
    <n v="3120"/>
    <s v="kg"/>
    <n v="10000"/>
    <n v="31200000"/>
  </r>
  <r>
    <s v="INV090725014"/>
    <x v="137"/>
    <x v="168"/>
    <x v="168"/>
    <x v="6"/>
    <x v="10"/>
    <x v="10"/>
    <n v="2550"/>
    <s v="kg"/>
    <n v="14500"/>
    <n v="36975000"/>
  </r>
  <r>
    <s v="INV100725015"/>
    <x v="138"/>
    <x v="169"/>
    <x v="169"/>
    <x v="0"/>
    <x v="3"/>
    <x v="3"/>
    <n v="3400"/>
    <s v="kg"/>
    <n v="9500"/>
    <n v="32300000"/>
  </r>
  <r>
    <s v="INV100725016"/>
    <x v="138"/>
    <x v="170"/>
    <x v="170"/>
    <x v="1"/>
    <x v="0"/>
    <x v="0"/>
    <n v="2750"/>
    <s v="kg"/>
    <n v="12500"/>
    <n v="34375000"/>
  </r>
  <r>
    <s v="INV110725017"/>
    <x v="139"/>
    <x v="171"/>
    <x v="171"/>
    <x v="2"/>
    <x v="5"/>
    <x v="5"/>
    <n v="3105"/>
    <s v="kg"/>
    <n v="9000"/>
    <n v="27945000"/>
  </r>
  <r>
    <s v="INV120725018"/>
    <x v="140"/>
    <x v="172"/>
    <x v="172"/>
    <x v="3"/>
    <x v="2"/>
    <x v="2"/>
    <n v="2250"/>
    <s v="kg"/>
    <n v="13500"/>
    <n v="30375000"/>
  </r>
  <r>
    <s v="INV130725019"/>
    <x v="141"/>
    <x v="173"/>
    <x v="173"/>
    <x v="4"/>
    <x v="4"/>
    <x v="4"/>
    <n v="3325"/>
    <s v="kg"/>
    <n v="11000"/>
    <n v="36575000"/>
  </r>
  <r>
    <s v="INV140725020"/>
    <x v="142"/>
    <x v="174"/>
    <x v="174"/>
    <x v="5"/>
    <x v="7"/>
    <x v="7"/>
    <n v="2870"/>
    <s v="kg"/>
    <n v="8500"/>
    <n v="24395000"/>
  </r>
  <r>
    <s v="INV150720021"/>
    <x v="143"/>
    <x v="175"/>
    <x v="175"/>
    <x v="6"/>
    <x v="1"/>
    <x v="1"/>
    <n v="3200"/>
    <s v="kg"/>
    <n v="10000"/>
    <n v="32000000"/>
  </r>
  <r>
    <s v="INV160720022"/>
    <x v="144"/>
    <x v="176"/>
    <x v="176"/>
    <x v="0"/>
    <x v="10"/>
    <x v="10"/>
    <n v="2650"/>
    <s v="kg"/>
    <n v="14500"/>
    <n v="38425000"/>
  </r>
  <r>
    <s v="INV170720023"/>
    <x v="145"/>
    <x v="177"/>
    <x v="177"/>
    <x v="1"/>
    <x v="9"/>
    <x v="9"/>
    <n v="2100"/>
    <s v="kg"/>
    <n v="10500"/>
    <n v="22050000"/>
  </r>
  <r>
    <s v="INV180725024"/>
    <x v="146"/>
    <x v="178"/>
    <x v="178"/>
    <x v="2"/>
    <x v="2"/>
    <x v="2"/>
    <n v="2980"/>
    <s v="kg"/>
    <n v="13500"/>
    <n v="40230000"/>
  </r>
  <r>
    <s v="INV190725025"/>
    <x v="147"/>
    <x v="179"/>
    <x v="179"/>
    <x v="3"/>
    <x v="5"/>
    <x v="5"/>
    <n v="3450"/>
    <s v="kg"/>
    <n v="9000"/>
    <n v="31050000"/>
  </r>
  <r>
    <s v="INV200725026"/>
    <x v="148"/>
    <x v="180"/>
    <x v="180"/>
    <x v="4"/>
    <x v="4"/>
    <x v="4"/>
    <n v="3100"/>
    <s v="kg"/>
    <n v="11000"/>
    <n v="34100000"/>
  </r>
  <r>
    <s v="INV030825001"/>
    <x v="149"/>
    <x v="181"/>
    <x v="181"/>
    <x v="0"/>
    <x v="0"/>
    <x v="0"/>
    <n v="2500"/>
    <s v="kg"/>
    <n v="12500"/>
    <n v="31250000"/>
  </r>
  <r>
    <s v="INV040825002"/>
    <x v="150"/>
    <x v="182"/>
    <x v="182"/>
    <x v="1"/>
    <x v="1"/>
    <x v="1"/>
    <n v="3100"/>
    <s v="kg"/>
    <n v="10000"/>
    <n v="31000000"/>
  </r>
  <r>
    <s v="INV050825003"/>
    <x v="151"/>
    <x v="183"/>
    <x v="183"/>
    <x v="2"/>
    <x v="2"/>
    <x v="2"/>
    <n v="2200"/>
    <s v="kg"/>
    <n v="13500"/>
    <n v="29700000"/>
  </r>
  <r>
    <s v="INV060825004"/>
    <x v="152"/>
    <x v="184"/>
    <x v="184"/>
    <x v="3"/>
    <x v="3"/>
    <x v="3"/>
    <n v="1850"/>
    <s v="kg"/>
    <n v="9500"/>
    <n v="17575000"/>
  </r>
  <r>
    <s v="INV070825005"/>
    <x v="153"/>
    <x v="185"/>
    <x v="185"/>
    <x v="4"/>
    <x v="4"/>
    <x v="4"/>
    <n v="2950"/>
    <s v="kg"/>
    <n v="11000"/>
    <n v="32450000"/>
  </r>
  <r>
    <s v="INV080825006"/>
    <x v="154"/>
    <x v="186"/>
    <x v="186"/>
    <x v="5"/>
    <x v="5"/>
    <x v="5"/>
    <n v="2700"/>
    <s v="kg"/>
    <n v="9000"/>
    <n v="24300000"/>
  </r>
  <r>
    <s v="INV090825007"/>
    <x v="155"/>
    <x v="187"/>
    <x v="187"/>
    <x v="6"/>
    <x v="6"/>
    <x v="6"/>
    <n v="1650"/>
    <s v="kg"/>
    <n v="11500"/>
    <n v="18975000"/>
  </r>
  <r>
    <s v="INV100825008"/>
    <x v="156"/>
    <x v="188"/>
    <x v="188"/>
    <x v="0"/>
    <x v="7"/>
    <x v="7"/>
    <n v="2100"/>
    <s v="kg"/>
    <n v="8500"/>
    <n v="17850000"/>
  </r>
  <r>
    <s v="INV110825009"/>
    <x v="157"/>
    <x v="189"/>
    <x v="189"/>
    <x v="1"/>
    <x v="8"/>
    <x v="8"/>
    <n v="3250"/>
    <s v="kg"/>
    <n v="12000"/>
    <n v="39000000"/>
  </r>
  <r>
    <s v="INV120825010"/>
    <x v="158"/>
    <x v="190"/>
    <x v="190"/>
    <x v="2"/>
    <x v="9"/>
    <x v="9"/>
    <n v="2800"/>
    <s v="kg"/>
    <n v="10500"/>
    <n v="29400000"/>
  </r>
  <r>
    <s v="INV130825011"/>
    <x v="159"/>
    <x v="191"/>
    <x v="191"/>
    <x v="3"/>
    <x v="10"/>
    <x v="10"/>
    <n v="3400"/>
    <s v="kg"/>
    <n v="14500"/>
    <n v="49300000"/>
  </r>
  <r>
    <s v="INV140825012"/>
    <x v="160"/>
    <x v="192"/>
    <x v="192"/>
    <x v="4"/>
    <x v="0"/>
    <x v="0"/>
    <n v="2600"/>
    <s v="kg"/>
    <n v="12500"/>
    <n v="32500000"/>
  </r>
  <r>
    <s v="INV150825013"/>
    <x v="161"/>
    <x v="193"/>
    <x v="193"/>
    <x v="5"/>
    <x v="2"/>
    <x v="2"/>
    <n v="2300"/>
    <s v="kg"/>
    <n v="13500"/>
    <n v="31050000"/>
  </r>
  <r>
    <s v="INV160825014"/>
    <x v="162"/>
    <x v="194"/>
    <x v="194"/>
    <x v="6"/>
    <x v="4"/>
    <x v="4"/>
    <n v="2900"/>
    <s v="kg"/>
    <n v="11000"/>
    <n v="31900000"/>
  </r>
  <r>
    <s v="INV170825015"/>
    <x v="163"/>
    <x v="195"/>
    <x v="195"/>
    <x v="0"/>
    <x v="1"/>
    <x v="1"/>
    <n v="3100"/>
    <s v="kg"/>
    <n v="10000"/>
    <n v="31000000"/>
  </r>
  <r>
    <s v="INV180825016"/>
    <x v="164"/>
    <x v="196"/>
    <x v="196"/>
    <x v="1"/>
    <x v="5"/>
    <x v="5"/>
    <n v="2750"/>
    <s v="kg"/>
    <n v="9000"/>
    <n v="24750000"/>
  </r>
  <r>
    <s v="INV190825017"/>
    <x v="165"/>
    <x v="197"/>
    <x v="197"/>
    <x v="2"/>
    <x v="7"/>
    <x v="7"/>
    <n v="2400"/>
    <s v="kg"/>
    <n v="8500"/>
    <n v="20400000"/>
  </r>
  <r>
    <s v="INV200825018"/>
    <x v="166"/>
    <x v="198"/>
    <x v="198"/>
    <x v="3"/>
    <x v="3"/>
    <x v="3"/>
    <n v="2000"/>
    <s v="kg"/>
    <n v="9500"/>
    <n v="19000000"/>
  </r>
  <r>
    <s v="INV210825019"/>
    <x v="167"/>
    <x v="199"/>
    <x v="199"/>
    <x v="4"/>
    <x v="6"/>
    <x v="6"/>
    <n v="1750"/>
    <s v="kg"/>
    <n v="11500"/>
    <n v="20125000"/>
  </r>
  <r>
    <s v="INV220825020"/>
    <x v="168"/>
    <x v="200"/>
    <x v="200"/>
    <x v="5"/>
    <x v="10"/>
    <x v="10"/>
    <n v="3550"/>
    <s v="kg"/>
    <n v="14500"/>
    <n v="51475000"/>
  </r>
  <r>
    <s v="INV230825021"/>
    <x v="169"/>
    <x v="201"/>
    <x v="201"/>
    <x v="6"/>
    <x v="8"/>
    <x v="8"/>
    <n v="2650"/>
    <s v="kg"/>
    <n v="12000"/>
    <n v="31800000"/>
  </r>
  <r>
    <s v="INV240825022"/>
    <x v="170"/>
    <x v="202"/>
    <x v="202"/>
    <x v="0"/>
    <x v="0"/>
    <x v="0"/>
    <n v="2850"/>
    <s v="kg"/>
    <n v="12500"/>
    <n v="35625000"/>
  </r>
  <r>
    <s v="INV250825023"/>
    <x v="171"/>
    <x v="203"/>
    <x v="203"/>
    <x v="1"/>
    <x v="9"/>
    <x v="9"/>
    <n v="2950"/>
    <s v="kg"/>
    <n v="10500"/>
    <n v="30975000"/>
  </r>
  <r>
    <s v="INV260825024"/>
    <x v="172"/>
    <x v="204"/>
    <x v="204"/>
    <x v="2"/>
    <x v="2"/>
    <x v="2"/>
    <n v="2150"/>
    <s v="kg"/>
    <n v="13500"/>
    <n v="29025000"/>
  </r>
  <r>
    <s v="INV270825025"/>
    <x v="173"/>
    <x v="205"/>
    <x v="205"/>
    <x v="3"/>
    <x v="5"/>
    <x v="5"/>
    <n v="3050"/>
    <s v="kg"/>
    <n v="9000"/>
    <n v="27450000"/>
  </r>
  <r>
    <s v="INV030925001"/>
    <x v="174"/>
    <x v="206"/>
    <x v="206"/>
    <x v="0"/>
    <x v="0"/>
    <x v="0"/>
    <n v="2150"/>
    <s v="kg"/>
    <n v="12500"/>
    <n v="26875000"/>
  </r>
  <r>
    <s v="INV040925002"/>
    <x v="175"/>
    <x v="207"/>
    <x v="207"/>
    <x v="1"/>
    <x v="2"/>
    <x v="2"/>
    <n v="3200"/>
    <s v="kg"/>
    <n v="13500"/>
    <n v="43200000"/>
  </r>
  <r>
    <s v="INV050925003"/>
    <x v="176"/>
    <x v="208"/>
    <x v="208"/>
    <x v="2"/>
    <x v="1"/>
    <x v="1"/>
    <n v="1850"/>
    <s v="kg"/>
    <n v="10000"/>
    <n v="18500000"/>
  </r>
  <r>
    <s v="INV060925004"/>
    <x v="177"/>
    <x v="209"/>
    <x v="209"/>
    <x v="3"/>
    <x v="3"/>
    <x v="3"/>
    <n v="2600"/>
    <s v="kg"/>
    <n v="9500"/>
    <n v="24700000"/>
  </r>
  <r>
    <s v="INV070925005"/>
    <x v="178"/>
    <x v="210"/>
    <x v="210"/>
    <x v="5"/>
    <x v="5"/>
    <x v="5"/>
    <n v="2980"/>
    <s v="kg"/>
    <n v="9000"/>
    <n v="26820000"/>
  </r>
  <r>
    <s v="INV070925006"/>
    <x v="178"/>
    <x v="211"/>
    <x v="211"/>
    <x v="4"/>
    <x v="4"/>
    <x v="4"/>
    <n v="3350"/>
    <s v="kg"/>
    <n v="11000"/>
    <n v="36850000"/>
  </r>
  <r>
    <s v="INV080925007"/>
    <x v="179"/>
    <x v="212"/>
    <x v="212"/>
    <x v="6"/>
    <x v="6"/>
    <x v="6"/>
    <n v="1740"/>
    <s v="kg"/>
    <n v="11500"/>
    <n v="20010000"/>
  </r>
  <r>
    <s v="INV090925008"/>
    <x v="180"/>
    <x v="213"/>
    <x v="213"/>
    <x v="0"/>
    <x v="0"/>
    <x v="0"/>
    <n v="2860"/>
    <s v="kg"/>
    <n v="12500"/>
    <n v="35750000"/>
  </r>
  <r>
    <s v="INV100925009"/>
    <x v="181"/>
    <x v="214"/>
    <x v="214"/>
    <x v="1"/>
    <x v="7"/>
    <x v="7"/>
    <n v="3100"/>
    <s v="kg"/>
    <n v="8500"/>
    <n v="26350000"/>
  </r>
  <r>
    <s v="INV110925010"/>
    <x v="182"/>
    <x v="215"/>
    <x v="215"/>
    <x v="2"/>
    <x v="2"/>
    <x v="2"/>
    <n v="2450"/>
    <s v="kg"/>
    <n v="13500"/>
    <n v="33075000"/>
  </r>
  <r>
    <s v="INV120925011"/>
    <x v="183"/>
    <x v="216"/>
    <x v="216"/>
    <x v="3"/>
    <x v="8"/>
    <x v="8"/>
    <n v="2100"/>
    <s v="kg"/>
    <n v="12000"/>
    <n v="25200000"/>
  </r>
  <r>
    <s v="INV130925012"/>
    <x v="184"/>
    <x v="217"/>
    <x v="217"/>
    <x v="5"/>
    <x v="5"/>
    <x v="5"/>
    <n v="3750"/>
    <s v="kg"/>
    <n v="9000"/>
    <n v="33750000"/>
  </r>
  <r>
    <s v="INV130925013"/>
    <x v="184"/>
    <x v="218"/>
    <x v="218"/>
    <x v="4"/>
    <x v="3"/>
    <x v="3"/>
    <n v="2980"/>
    <s v="kg"/>
    <n v="9500"/>
    <n v="28310000"/>
  </r>
  <r>
    <s v="INV140925014"/>
    <x v="185"/>
    <x v="219"/>
    <x v="219"/>
    <x v="6"/>
    <x v="9"/>
    <x v="9"/>
    <n v="1540"/>
    <s v="kg"/>
    <n v="10500"/>
    <n v="16170000"/>
  </r>
  <r>
    <s v="INV150925015"/>
    <x v="186"/>
    <x v="220"/>
    <x v="220"/>
    <x v="0"/>
    <x v="10"/>
    <x v="10"/>
    <n v="4050"/>
    <s v="kg"/>
    <n v="14500"/>
    <n v="58725000"/>
  </r>
  <r>
    <s v="INV160925016"/>
    <x v="187"/>
    <x v="221"/>
    <x v="221"/>
    <x v="1"/>
    <x v="1"/>
    <x v="1"/>
    <n v="2600"/>
    <s v="kg"/>
    <n v="10000"/>
    <n v="26000000"/>
  </r>
  <r>
    <s v="INV170925017"/>
    <x v="188"/>
    <x v="222"/>
    <x v="222"/>
    <x v="2"/>
    <x v="4"/>
    <x v="4"/>
    <n v="2300"/>
    <s v="kg"/>
    <n v="11000"/>
    <n v="25300000"/>
  </r>
  <r>
    <s v="INV180925018"/>
    <x v="189"/>
    <x v="223"/>
    <x v="223"/>
    <x v="3"/>
    <x v="0"/>
    <x v="0"/>
    <n v="3420"/>
    <s v="kg"/>
    <n v="12500"/>
    <n v="42750000"/>
  </r>
  <r>
    <s v="INV190925019"/>
    <x v="190"/>
    <x v="224"/>
    <x v="224"/>
    <x v="5"/>
    <x v="5"/>
    <x v="5"/>
    <n v="2985"/>
    <s v="kg"/>
    <n v="9000"/>
    <n v="26865000"/>
  </r>
  <r>
    <s v="INV200925020"/>
    <x v="191"/>
    <x v="225"/>
    <x v="225"/>
    <x v="4"/>
    <x v="2"/>
    <x v="2"/>
    <n v="3150"/>
    <s v="kg"/>
    <n v="13500"/>
    <n v="42525000"/>
  </r>
  <r>
    <s v="INV210925021"/>
    <x v="192"/>
    <x v="226"/>
    <x v="226"/>
    <x v="6"/>
    <x v="6"/>
    <x v="6"/>
    <n v="1840"/>
    <s v="kg"/>
    <n v="11500"/>
    <n v="21160000"/>
  </r>
  <r>
    <s v="INV220925022"/>
    <x v="193"/>
    <x v="227"/>
    <x v="227"/>
    <x v="0"/>
    <x v="10"/>
    <x v="10"/>
    <n v="4200"/>
    <s v="kg"/>
    <n v="14500"/>
    <n v="60900000"/>
  </r>
  <r>
    <s v="INV230925023"/>
    <x v="194"/>
    <x v="228"/>
    <x v="228"/>
    <x v="1"/>
    <x v="3"/>
    <x v="3"/>
    <n v="2990"/>
    <s v="kg"/>
    <n v="9500"/>
    <n v="28405000"/>
  </r>
  <r>
    <s v="INV240925024"/>
    <x v="195"/>
    <x v="229"/>
    <x v="229"/>
    <x v="2"/>
    <x v="8"/>
    <x v="8"/>
    <n v="2500"/>
    <s v="kg"/>
    <n v="12000"/>
    <n v="30000000"/>
  </r>
  <r>
    <s v="INV250925025"/>
    <x v="196"/>
    <x v="230"/>
    <x v="230"/>
    <x v="3"/>
    <x v="1"/>
    <x v="1"/>
    <n v="2680"/>
    <s v="kg"/>
    <n v="10000"/>
    <n v="26800000"/>
  </r>
  <r>
    <s v="INV260925026"/>
    <x v="197"/>
    <x v="231"/>
    <x v="231"/>
    <x v="5"/>
    <x v="7"/>
    <x v="7"/>
    <n v="3100"/>
    <s v="kg"/>
    <n v="8500"/>
    <n v="26350000"/>
  </r>
  <r>
    <s v="INV270925027"/>
    <x v="198"/>
    <x v="232"/>
    <x v="232"/>
    <x v="4"/>
    <x v="4"/>
    <x v="4"/>
    <n v="3450"/>
    <s v="kg"/>
    <n v="11000"/>
    <n v="37950000"/>
  </r>
  <r>
    <s v="INV031025001"/>
    <x v="199"/>
    <x v="233"/>
    <x v="233"/>
    <x v="0"/>
    <x v="0"/>
    <x v="0"/>
    <n v="2100"/>
    <s v="kg"/>
    <n v="12500"/>
    <n v="26250000"/>
  </r>
  <r>
    <s v="INV051025002"/>
    <x v="200"/>
    <x v="234"/>
    <x v="234"/>
    <x v="1"/>
    <x v="1"/>
    <x v="1"/>
    <n v="1850"/>
    <s v="kg"/>
    <n v="10000"/>
    <n v="18500000"/>
  </r>
  <r>
    <s v="INV061025003"/>
    <x v="201"/>
    <x v="235"/>
    <x v="235"/>
    <x v="2"/>
    <x v="2"/>
    <x v="2"/>
    <n v="3200"/>
    <s v="kg"/>
    <n v="13500"/>
    <n v="43200000"/>
  </r>
  <r>
    <s v="INV071025004"/>
    <x v="202"/>
    <x v="236"/>
    <x v="236"/>
    <x v="3"/>
    <x v="3"/>
    <x v="3"/>
    <n v="2750"/>
    <s v="kg"/>
    <n v="9500"/>
    <n v="26125000"/>
  </r>
  <r>
    <s v="INV081025005"/>
    <x v="203"/>
    <x v="237"/>
    <x v="237"/>
    <x v="4"/>
    <x v="4"/>
    <x v="4"/>
    <n v="1980"/>
    <s v="kg"/>
    <n v="11000"/>
    <n v="21780000"/>
  </r>
  <r>
    <s v="INV091025006"/>
    <x v="204"/>
    <x v="238"/>
    <x v="238"/>
    <x v="5"/>
    <x v="5"/>
    <x v="5"/>
    <n v="3050"/>
    <s v="kg"/>
    <n v="9000"/>
    <n v="27450000"/>
  </r>
  <r>
    <s v="INV101025007"/>
    <x v="205"/>
    <x v="239"/>
    <x v="239"/>
    <x v="6"/>
    <x v="6"/>
    <x v="6"/>
    <n v="2240"/>
    <s v="kg"/>
    <n v="11500"/>
    <n v="25760000"/>
  </r>
  <r>
    <s v="INV111025008"/>
    <x v="206"/>
    <x v="240"/>
    <x v="240"/>
    <x v="0"/>
    <x v="7"/>
    <x v="7"/>
    <n v="2675"/>
    <s v="kg"/>
    <n v="8500"/>
    <n v="22737500"/>
  </r>
  <r>
    <s v="INV121025009"/>
    <x v="207"/>
    <x v="241"/>
    <x v="241"/>
    <x v="1"/>
    <x v="8"/>
    <x v="8"/>
    <n v="2890"/>
    <s v="kg"/>
    <n v="12000"/>
    <n v="34680000"/>
  </r>
  <r>
    <s v="INV131025010"/>
    <x v="208"/>
    <x v="242"/>
    <x v="242"/>
    <x v="2"/>
    <x v="9"/>
    <x v="9"/>
    <n v="1760"/>
    <s v="kg"/>
    <n v="10500"/>
    <n v="18480000"/>
  </r>
  <r>
    <s v="INV141025011"/>
    <x v="209"/>
    <x v="243"/>
    <x v="243"/>
    <x v="3"/>
    <x v="10"/>
    <x v="10"/>
    <n v="3500"/>
    <s v="kg"/>
    <n v="14500"/>
    <n v="50750000"/>
  </r>
  <r>
    <s v="INV151025012"/>
    <x v="210"/>
    <x v="244"/>
    <x v="244"/>
    <x v="4"/>
    <x v="0"/>
    <x v="0"/>
    <n v="2600"/>
    <s v="kg"/>
    <n v="12500"/>
    <n v="32500000"/>
  </r>
  <r>
    <s v="INV161025013"/>
    <x v="211"/>
    <x v="245"/>
    <x v="245"/>
    <x v="5"/>
    <x v="1"/>
    <x v="1"/>
    <n v="2400"/>
    <s v="kg"/>
    <n v="10000"/>
    <n v="24000000"/>
  </r>
  <r>
    <s v="INV171025014"/>
    <x v="212"/>
    <x v="246"/>
    <x v="246"/>
    <x v="6"/>
    <x v="2"/>
    <x v="2"/>
    <n v="3150"/>
    <s v="kg"/>
    <n v="13500"/>
    <n v="42525000"/>
  </r>
  <r>
    <s v="INV181025015"/>
    <x v="213"/>
    <x v="247"/>
    <x v="247"/>
    <x v="0"/>
    <x v="3"/>
    <x v="3"/>
    <n v="2210"/>
    <s v="kg"/>
    <n v="9500"/>
    <n v="20995000"/>
  </r>
  <r>
    <s v="INV191025016"/>
    <x v="214"/>
    <x v="248"/>
    <x v="248"/>
    <x v="1"/>
    <x v="4"/>
    <x v="4"/>
    <n v="2750"/>
    <s v="kg"/>
    <n v="11000"/>
    <n v="30250000"/>
  </r>
  <r>
    <s v="INV201025017"/>
    <x v="215"/>
    <x v="249"/>
    <x v="249"/>
    <x v="2"/>
    <x v="5"/>
    <x v="5"/>
    <n v="2330"/>
    <s v="kg"/>
    <n v="9000"/>
    <n v="20970000"/>
  </r>
  <r>
    <s v="INV211025018"/>
    <x v="216"/>
    <x v="250"/>
    <x v="250"/>
    <x v="3"/>
    <x v="6"/>
    <x v="6"/>
    <n v="2980"/>
    <s v="kg"/>
    <n v="11500"/>
    <n v="34270000"/>
  </r>
  <r>
    <s v="INV221025019"/>
    <x v="217"/>
    <x v="251"/>
    <x v="251"/>
    <x v="4"/>
    <x v="7"/>
    <x v="7"/>
    <n v="1880"/>
    <s v="kg"/>
    <n v="8500"/>
    <n v="15980000"/>
  </r>
  <r>
    <s v="INV231025020"/>
    <x v="218"/>
    <x v="252"/>
    <x v="252"/>
    <x v="5"/>
    <x v="8"/>
    <x v="8"/>
    <n v="3200"/>
    <s v="kg"/>
    <n v="12000"/>
    <n v="38400000"/>
  </r>
  <r>
    <s v="INV241025021"/>
    <x v="219"/>
    <x v="253"/>
    <x v="253"/>
    <x v="6"/>
    <x v="9"/>
    <x v="9"/>
    <n v="2450"/>
    <s v="kg"/>
    <n v="10500"/>
    <n v="25725000"/>
  </r>
  <r>
    <s v="INV251025022"/>
    <x v="220"/>
    <x v="254"/>
    <x v="254"/>
    <x v="0"/>
    <x v="10"/>
    <x v="10"/>
    <n v="3560"/>
    <s v="kg"/>
    <n v="14500"/>
    <n v="51620000"/>
  </r>
  <r>
    <s v="INV261025023"/>
    <x v="221"/>
    <x v="255"/>
    <x v="255"/>
    <x v="1"/>
    <x v="0"/>
    <x v="0"/>
    <n v="2070"/>
    <s v="kg"/>
    <n v="12500"/>
    <n v="25875000"/>
  </r>
  <r>
    <s v="INV271025024"/>
    <x v="222"/>
    <x v="256"/>
    <x v="256"/>
    <x v="2"/>
    <x v="1"/>
    <x v="1"/>
    <n v="2940"/>
    <s v="kg"/>
    <n v="10000"/>
    <n v="29400000"/>
  </r>
  <r>
    <s v="INV281025025"/>
    <x v="223"/>
    <x v="257"/>
    <x v="257"/>
    <x v="3"/>
    <x v="2"/>
    <x v="2"/>
    <n v="3100"/>
    <s v="kg"/>
    <n v="13500"/>
    <n v="41850000"/>
  </r>
  <r>
    <s v="INV031125001"/>
    <x v="224"/>
    <x v="258"/>
    <x v="258"/>
    <x v="0"/>
    <x v="0"/>
    <x v="0"/>
    <n v="2150"/>
    <s v="kg"/>
    <n v="12500"/>
    <n v="26875000"/>
  </r>
  <r>
    <s v="INV041125002"/>
    <x v="225"/>
    <x v="259"/>
    <x v="259"/>
    <x v="1"/>
    <x v="2"/>
    <x v="2"/>
    <n v="1850"/>
    <s v="kg"/>
    <n v="13500"/>
    <n v="24975000"/>
  </r>
  <r>
    <s v="INV041125003"/>
    <x v="225"/>
    <x v="260"/>
    <x v="260"/>
    <x v="3"/>
    <x v="5"/>
    <x v="5"/>
    <n v="3020"/>
    <s v="kg"/>
    <n v="9000"/>
    <n v="27180000"/>
  </r>
  <r>
    <s v="INV051125004"/>
    <x v="226"/>
    <x v="261"/>
    <x v="261"/>
    <x v="4"/>
    <x v="3"/>
    <x v="3"/>
    <n v="1750"/>
    <s v="kg"/>
    <n v="9500"/>
    <n v="16625000"/>
  </r>
  <r>
    <s v="INV051125005"/>
    <x v="226"/>
    <x v="262"/>
    <x v="262"/>
    <x v="5"/>
    <x v="1"/>
    <x v="1"/>
    <n v="2640"/>
    <s v="kg"/>
    <n v="10000"/>
    <n v="26400000"/>
  </r>
  <r>
    <s v="INV061125006"/>
    <x v="227"/>
    <x v="263"/>
    <x v="263"/>
    <x v="2"/>
    <x v="4"/>
    <x v="4"/>
    <n v="3200"/>
    <s v="kg"/>
    <n v="11000"/>
    <n v="35200000"/>
  </r>
  <r>
    <s v="INV061125007"/>
    <x v="227"/>
    <x v="264"/>
    <x v="264"/>
    <x v="6"/>
    <x v="6"/>
    <x v="6"/>
    <n v="1450"/>
    <s v="kg"/>
    <n v="11500"/>
    <n v="16675000"/>
  </r>
  <r>
    <s v="INV071125008"/>
    <x v="228"/>
    <x v="265"/>
    <x v="265"/>
    <x v="1"/>
    <x v="7"/>
    <x v="7"/>
    <n v="2860"/>
    <s v="kg"/>
    <n v="8500"/>
    <n v="24310000"/>
  </r>
  <r>
    <s v="INV071125009"/>
    <x v="228"/>
    <x v="266"/>
    <x v="266"/>
    <x v="0"/>
    <x v="0"/>
    <x v="0"/>
    <n v="1950"/>
    <s v="kg"/>
    <n v="12500"/>
    <n v="24375000"/>
  </r>
  <r>
    <s v="INV081125010"/>
    <x v="229"/>
    <x v="267"/>
    <x v="267"/>
    <x v="4"/>
    <x v="8"/>
    <x v="8"/>
    <n v="2410"/>
    <s v="kg"/>
    <n v="12000"/>
    <n v="28920000"/>
  </r>
  <r>
    <s v="INV091125011"/>
    <x v="230"/>
    <x v="268"/>
    <x v="268"/>
    <x v="5"/>
    <x v="10"/>
    <x v="10"/>
    <n v="3560"/>
    <s v="kg"/>
    <n v="14500"/>
    <n v="51620000"/>
  </r>
  <r>
    <s v="INV101125012"/>
    <x v="231"/>
    <x v="269"/>
    <x v="269"/>
    <x v="3"/>
    <x v="3"/>
    <x v="3"/>
    <n v="2980"/>
    <s v="kg"/>
    <n v="9500"/>
    <n v="28310000"/>
  </r>
  <r>
    <s v="INV111125013"/>
    <x v="232"/>
    <x v="270"/>
    <x v="270"/>
    <x v="2"/>
    <x v="2"/>
    <x v="2"/>
    <n v="2100"/>
    <s v="kg"/>
    <n v="13500"/>
    <n v="28350000"/>
  </r>
  <r>
    <s v="INV121125014"/>
    <x v="233"/>
    <x v="271"/>
    <x v="271"/>
    <x v="1"/>
    <x v="1"/>
    <x v="1"/>
    <n v="3300"/>
    <s v="kg"/>
    <n v="10000"/>
    <n v="33000000"/>
  </r>
  <r>
    <s v="INV131125015"/>
    <x v="234"/>
    <x v="272"/>
    <x v="272"/>
    <x v="4"/>
    <x v="5"/>
    <x v="5"/>
    <n v="1840"/>
    <s v="kg"/>
    <n v="9000"/>
    <n v="16560000"/>
  </r>
  <r>
    <s v="INV141125016"/>
    <x v="235"/>
    <x v="273"/>
    <x v="273"/>
    <x v="6"/>
    <x v="6"/>
    <x v="6"/>
    <n v="1560"/>
    <s v="kg"/>
    <n v="11500"/>
    <n v="17940000"/>
  </r>
  <r>
    <s v="INV151125017"/>
    <x v="236"/>
    <x v="274"/>
    <x v="274"/>
    <x v="5"/>
    <x v="4"/>
    <x v="4"/>
    <n v="2890"/>
    <s v="kg"/>
    <n v="11000"/>
    <n v="31790000"/>
  </r>
  <r>
    <s v="INV161125018"/>
    <x v="237"/>
    <x v="275"/>
    <x v="275"/>
    <x v="3"/>
    <x v="10"/>
    <x v="10"/>
    <n v="3620"/>
    <s v="kg"/>
    <n v="14500"/>
    <n v="52490000"/>
  </r>
  <r>
    <s v="INV171125019"/>
    <x v="238"/>
    <x v="276"/>
    <x v="276"/>
    <x v="0"/>
    <x v="0"/>
    <x v="0"/>
    <n v="2740"/>
    <s v="kg"/>
    <n v="12500"/>
    <n v="34250000"/>
  </r>
  <r>
    <s v="INV181125020"/>
    <x v="239"/>
    <x v="277"/>
    <x v="277"/>
    <x v="2"/>
    <x v="3"/>
    <x v="3"/>
    <n v="1990"/>
    <s v="kg"/>
    <n v="9500"/>
    <n v="18905000"/>
  </r>
  <r>
    <s v="INV191125021"/>
    <x v="240"/>
    <x v="278"/>
    <x v="278"/>
    <x v="1"/>
    <x v="7"/>
    <x v="7"/>
    <n v="3050"/>
    <s v="kg"/>
    <n v="8500"/>
    <n v="25925000"/>
  </r>
  <r>
    <s v="INV201125022"/>
    <x v="241"/>
    <x v="279"/>
    <x v="279"/>
    <x v="4"/>
    <x v="2"/>
    <x v="2"/>
    <n v="2480"/>
    <s v="kg"/>
    <n v="13500"/>
    <n v="33480000"/>
  </r>
  <r>
    <s v="INV211125023"/>
    <x v="242"/>
    <x v="280"/>
    <x v="280"/>
    <x v="6"/>
    <x v="9"/>
    <x v="9"/>
    <n v="1670"/>
    <s v="kg"/>
    <n v="10500"/>
    <n v="17535000"/>
  </r>
  <r>
    <s v="INV221125024"/>
    <x v="243"/>
    <x v="281"/>
    <x v="281"/>
    <x v="5"/>
    <x v="8"/>
    <x v="8"/>
    <n v="2230"/>
    <s v="kg"/>
    <n v="12000"/>
    <n v="26760000"/>
  </r>
  <r>
    <s v="INV231125025"/>
    <x v="244"/>
    <x v="282"/>
    <x v="282"/>
    <x v="3"/>
    <x v="5"/>
    <x v="5"/>
    <n v="2870"/>
    <s v="kg"/>
    <n v="9000"/>
    <n v="25830000"/>
  </r>
  <r>
    <s v="INV241125026"/>
    <x v="245"/>
    <x v="283"/>
    <x v="283"/>
    <x v="2"/>
    <x v="0"/>
    <x v="0"/>
    <n v="3120"/>
    <s v="kg"/>
    <n v="12500"/>
    <n v="39000000"/>
  </r>
  <r>
    <s v="INV031225001"/>
    <x v="246"/>
    <x v="284"/>
    <x v="284"/>
    <x v="0"/>
    <x v="0"/>
    <x v="0"/>
    <n v="1850"/>
    <s v="kg"/>
    <n v="12500"/>
    <n v="23125000"/>
  </r>
  <r>
    <s v="INV041225002"/>
    <x v="247"/>
    <x v="285"/>
    <x v="285"/>
    <x v="1"/>
    <x v="1"/>
    <x v="1"/>
    <n v="2950"/>
    <s v="kg"/>
    <n v="10000"/>
    <n v="29500000"/>
  </r>
  <r>
    <s v="INV041225003"/>
    <x v="247"/>
    <x v="286"/>
    <x v="286"/>
    <x v="2"/>
    <x v="2"/>
    <x v="2"/>
    <n v="2100"/>
    <s v="kg"/>
    <n v="13500"/>
    <n v="28350000"/>
  </r>
  <r>
    <s v="INV051225004"/>
    <x v="248"/>
    <x v="287"/>
    <x v="287"/>
    <x v="3"/>
    <x v="3"/>
    <x v="3"/>
    <n v="1740"/>
    <s v="kg"/>
    <n v="9500"/>
    <n v="16530000"/>
  </r>
  <r>
    <s v="INV051225005"/>
    <x v="248"/>
    <x v="288"/>
    <x v="288"/>
    <x v="4"/>
    <x v="4"/>
    <x v="4"/>
    <n v="2600"/>
    <s v="kg"/>
    <n v="11000"/>
    <n v="28600000"/>
  </r>
  <r>
    <s v="INV061225006"/>
    <x v="249"/>
    <x v="289"/>
    <x v="289"/>
    <x v="5"/>
    <x v="5"/>
    <x v="5"/>
    <n v="3250"/>
    <s v="kg"/>
    <n v="9000"/>
    <n v="29250000"/>
  </r>
  <r>
    <s v="INV061225007"/>
    <x v="249"/>
    <x v="290"/>
    <x v="290"/>
    <x v="6"/>
    <x v="6"/>
    <x v="6"/>
    <n v="1480"/>
    <s v="kg"/>
    <n v="11500"/>
    <n v="17020000"/>
  </r>
  <r>
    <s v="INV071225008"/>
    <x v="250"/>
    <x v="291"/>
    <x v="291"/>
    <x v="0"/>
    <x v="7"/>
    <x v="7"/>
    <n v="2100"/>
    <s v="kg"/>
    <n v="8500"/>
    <n v="17850000"/>
  </r>
  <r>
    <s v="INV071225009"/>
    <x v="250"/>
    <x v="292"/>
    <x v="292"/>
    <x v="1"/>
    <x v="0"/>
    <x v="0"/>
    <n v="3320"/>
    <s v="kg"/>
    <n v="12500"/>
    <n v="41500000"/>
  </r>
  <r>
    <s v="INV081225010"/>
    <x v="251"/>
    <x v="293"/>
    <x v="293"/>
    <x v="2"/>
    <x v="8"/>
    <x v="8"/>
    <n v="2550"/>
    <s v="kg"/>
    <n v="12000"/>
    <n v="30600000"/>
  </r>
  <r>
    <s v="INV081225011"/>
    <x v="251"/>
    <x v="294"/>
    <x v="294"/>
    <x v="3"/>
    <x v="3"/>
    <x v="3"/>
    <n v="3780"/>
    <s v="kg"/>
    <n v="9500"/>
    <n v="35910000"/>
  </r>
  <r>
    <s v="INV091225012"/>
    <x v="252"/>
    <x v="295"/>
    <x v="295"/>
    <x v="4"/>
    <x v="10"/>
    <x v="10"/>
    <n v="3150"/>
    <s v="kg"/>
    <n v="14500"/>
    <n v="45675000"/>
  </r>
  <r>
    <s v="INV091225013"/>
    <x v="252"/>
    <x v="296"/>
    <x v="296"/>
    <x v="5"/>
    <x v="1"/>
    <x v="1"/>
    <n v="2890"/>
    <s v="kg"/>
    <n v="10000"/>
    <n v="28900000"/>
  </r>
  <r>
    <s v="INV101225014"/>
    <x v="253"/>
    <x v="297"/>
    <x v="297"/>
    <x v="6"/>
    <x v="2"/>
    <x v="2"/>
    <n v="1940"/>
    <s v="kg"/>
    <n v="13500"/>
    <n v="26190000"/>
  </r>
  <r>
    <s v="INV111225015"/>
    <x v="254"/>
    <x v="298"/>
    <x v="298"/>
    <x v="0"/>
    <x v="0"/>
    <x v="0"/>
    <n v="3500"/>
    <s v="kg"/>
    <n v="12500"/>
    <n v="43750000"/>
  </r>
  <r>
    <s v="INV121225016"/>
    <x v="255"/>
    <x v="299"/>
    <x v="299"/>
    <x v="1"/>
    <x v="7"/>
    <x v="7"/>
    <n v="2250"/>
    <s v="kg"/>
    <n v="8500"/>
    <n v="19125000"/>
  </r>
  <r>
    <s v="INV131225017"/>
    <x v="256"/>
    <x v="300"/>
    <x v="300"/>
    <x v="2"/>
    <x v="4"/>
    <x v="4"/>
    <n v="2730"/>
    <s v="kg"/>
    <n v="11000"/>
    <n v="30030000"/>
  </r>
  <r>
    <s v="INV141225018"/>
    <x v="257"/>
    <x v="301"/>
    <x v="301"/>
    <x v="3"/>
    <x v="6"/>
    <x v="6"/>
    <n v="1650"/>
    <s v="kg"/>
    <n v="11500"/>
    <n v="18975000"/>
  </r>
  <r>
    <s v="INV151225019"/>
    <x v="258"/>
    <x v="302"/>
    <x v="302"/>
    <x v="4"/>
    <x v="5"/>
    <x v="5"/>
    <n v="3080"/>
    <s v="kg"/>
    <n v="9000"/>
    <n v="27720000"/>
  </r>
  <r>
    <s v="INV161225020"/>
    <x v="259"/>
    <x v="303"/>
    <x v="303"/>
    <x v="5"/>
    <x v="8"/>
    <x v="8"/>
    <n v="2420"/>
    <s v="kg"/>
    <n v="12000"/>
    <n v="29040000"/>
  </r>
  <r>
    <s v="INV171225021"/>
    <x v="260"/>
    <x v="304"/>
    <x v="304"/>
    <x v="6"/>
    <x v="10"/>
    <x v="10"/>
    <n v="3340"/>
    <s v="kg"/>
    <n v="14500"/>
    <n v="48430000"/>
  </r>
  <r>
    <s v="INV181225022"/>
    <x v="261"/>
    <x v="305"/>
    <x v="305"/>
    <x v="0"/>
    <x v="3"/>
    <x v="3"/>
    <n v="2870"/>
    <s v="kg"/>
    <n v="9500"/>
    <n v="27265000"/>
  </r>
  <r>
    <s v="INV191225023"/>
    <x v="262"/>
    <x v="306"/>
    <x v="306"/>
    <x v="1"/>
    <x v="0"/>
    <x v="0"/>
    <n v="3620"/>
    <s v="kg"/>
    <n v="12500"/>
    <n v="45250000"/>
  </r>
  <r>
    <s v="INV201225024"/>
    <x v="263"/>
    <x v="307"/>
    <x v="307"/>
    <x v="2"/>
    <x v="2"/>
    <x v="2"/>
    <n v="2080"/>
    <s v="kg"/>
    <n v="13500"/>
    <n v="28080000"/>
  </r>
  <r>
    <s v="INV211225025"/>
    <x v="264"/>
    <x v="308"/>
    <x v="308"/>
    <x v="3"/>
    <x v="7"/>
    <x v="7"/>
    <n v="2310"/>
    <s v="kg"/>
    <n v="8500"/>
    <n v="19635000"/>
  </r>
  <r>
    <s v="INV221225026"/>
    <x v="265"/>
    <x v="309"/>
    <x v="309"/>
    <x v="4"/>
    <x v="1"/>
    <x v="1"/>
    <n v="2980"/>
    <s v="kg"/>
    <n v="10000"/>
    <n v="29800000"/>
  </r>
  <r>
    <s v="INV231225027"/>
    <x v="266"/>
    <x v="310"/>
    <x v="310"/>
    <x v="5"/>
    <x v="4"/>
    <x v="4"/>
    <n v="2750"/>
    <s v="kg"/>
    <n v="11000"/>
    <n v="3025000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">
  <r>
    <s v="INV030125001"/>
    <x v="0"/>
    <n v="15062500"/>
    <n v="15.0625"/>
  </r>
  <r>
    <s v="INV040125002"/>
    <x v="1"/>
    <n v="30150000"/>
    <n v="30.15"/>
  </r>
  <r>
    <s v="INV050125003"/>
    <x v="2"/>
    <n v="29025000"/>
    <n v="29.024999999999999"/>
  </r>
  <r>
    <s v="INV050125004"/>
    <x v="3"/>
    <n v="17955000"/>
    <n v="17.954999999999998"/>
  </r>
  <r>
    <s v="INV060125005"/>
    <x v="4"/>
    <n v="30250000"/>
    <n v="30.25"/>
  </r>
  <r>
    <s v="INV070125006"/>
    <x v="5"/>
    <n v="29880000"/>
    <n v="29.88"/>
  </r>
  <r>
    <s v="INV070125007"/>
    <x v="6"/>
    <n v="16675000"/>
    <n v="16.675000000000001"/>
  </r>
  <r>
    <s v="INV080125008"/>
    <x v="7"/>
    <n v="17850000"/>
    <n v="17.850000000000001"/>
  </r>
  <r>
    <s v="INV090125009"/>
    <x v="8"/>
    <n v="47760000"/>
    <n v="47.76"/>
  </r>
  <r>
    <s v="INV100125010"/>
    <x v="9"/>
    <n v="26880000"/>
    <n v="26.88"/>
  </r>
  <r>
    <s v="INV110125011"/>
    <x v="10"/>
    <n v="46037500"/>
    <n v="46.037500000000001"/>
  </r>
  <r>
    <s v="INV120125012"/>
    <x v="0"/>
    <n v="23437500"/>
    <n v="23.4375"/>
  </r>
  <r>
    <s v="INV130125013"/>
    <x v="1"/>
    <n v="22500000"/>
    <n v="22.5"/>
  </r>
  <r>
    <s v="INV140125014"/>
    <x v="2"/>
    <n v="22275000"/>
    <n v="22.274999999999999"/>
  </r>
  <r>
    <s v="INV150125015"/>
    <x v="3"/>
    <n v="27455000"/>
    <n v="27.454999999999998"/>
  </r>
  <r>
    <s v="INV160125016"/>
    <x v="4"/>
    <n v="35200000"/>
    <n v="35.200000000000003"/>
  </r>
  <r>
    <s v="INV170125017"/>
    <x v="5"/>
    <n v="12825000"/>
    <n v="12.824999999999999"/>
  </r>
  <r>
    <s v="INV180125018"/>
    <x v="6"/>
    <n v="31970000"/>
    <n v="31.97"/>
  </r>
  <r>
    <s v="INV190125019"/>
    <x v="7"/>
    <n v="28390000"/>
    <n v="28.39"/>
  </r>
  <r>
    <s v="INV200125020"/>
    <x v="8"/>
    <n v="29400000"/>
    <n v="29.4"/>
  </r>
  <r>
    <s v="INV220125021"/>
    <x v="9"/>
    <n v="19635000"/>
    <n v="19.635000000000002"/>
  </r>
  <r>
    <s v="INV240125022"/>
    <x v="10"/>
    <n v="43355000"/>
    <n v="43.354999999999997"/>
  </r>
  <r>
    <s v="INV260125023"/>
    <x v="1"/>
    <n v="21500000"/>
    <n v="21.5"/>
  </r>
  <r>
    <s v="INV290125024"/>
    <x v="2"/>
    <n v="26730000"/>
    <n v="26.73"/>
  </r>
  <r>
    <s v="INV010225001"/>
    <x v="3"/>
    <n v="29450000"/>
    <n v="29.45"/>
  </r>
  <r>
    <s v="INV030225002"/>
    <x v="0"/>
    <n v="30000000"/>
    <n v="30"/>
  </r>
  <r>
    <s v="INV040225003"/>
    <x v="2"/>
    <n v="24975000"/>
    <n v="24.975000000000001"/>
  </r>
  <r>
    <s v="INV050225004"/>
    <x v="1"/>
    <n v="31500000"/>
    <n v="31.5"/>
  </r>
  <r>
    <s v="INV050225005"/>
    <x v="4"/>
    <n v="32450000"/>
    <n v="32.450000000000003"/>
  </r>
  <r>
    <s v="INV060225006"/>
    <x v="5"/>
    <n v="15300000"/>
    <n v="15.3"/>
  </r>
  <r>
    <s v="INV060225007"/>
    <x v="3"/>
    <n v="25175000"/>
    <n v="25.175000000000001"/>
  </r>
  <r>
    <s v="INV070225008"/>
    <x v="6"/>
    <n v="16387500"/>
    <n v="16.387499999999999"/>
  </r>
  <r>
    <s v="INV070225009"/>
    <x v="7"/>
    <n v="28475000"/>
    <n v="28.475000000000001"/>
  </r>
  <r>
    <s v="INV080225010"/>
    <x v="0"/>
    <n v="26250000"/>
    <n v="26.25"/>
  </r>
  <r>
    <s v="INV080225011"/>
    <x v="10"/>
    <n v="56550000"/>
    <n v="56.55"/>
  </r>
  <r>
    <s v="INV090225012"/>
    <x v="8"/>
    <n v="30000000"/>
    <n v="30"/>
  </r>
  <r>
    <s v="INV090225013"/>
    <x v="2"/>
    <n v="24030000"/>
    <n v="24.03"/>
  </r>
  <r>
    <s v="INV100225014"/>
    <x v="1"/>
    <n v="32000000"/>
    <n v="32"/>
  </r>
  <r>
    <s v="INV100225015"/>
    <x v="0"/>
    <n v="37250000"/>
    <n v="37.25"/>
  </r>
  <r>
    <s v="INV110225016"/>
    <x v="3"/>
    <n v="21850000"/>
    <n v="21.85"/>
  </r>
  <r>
    <s v="INV110225017"/>
    <x v="5"/>
    <n v="27900000"/>
    <n v="27.9"/>
  </r>
  <r>
    <s v="INV120225018"/>
    <x v="9"/>
    <n v="16800000"/>
    <n v="16.8"/>
  </r>
  <r>
    <s v="INV120225019"/>
    <x v="4"/>
    <n v="30250000"/>
    <n v="30.25"/>
  </r>
  <r>
    <s v="INV130225020"/>
    <x v="10"/>
    <n v="51475000"/>
    <n v="51.475000000000001"/>
  </r>
  <r>
    <s v="INV130225021"/>
    <x v="1"/>
    <n v="29000000"/>
    <n v="29"/>
  </r>
  <r>
    <s v="INV140225022"/>
    <x v="8"/>
    <n v="31200000"/>
    <n v="31.2"/>
  </r>
  <r>
    <s v="INV150225023"/>
    <x v="3"/>
    <n v="32775000"/>
    <n v="32.774999999999999"/>
  </r>
  <r>
    <s v="INV160225024"/>
    <x v="6"/>
    <n v="20125000"/>
    <n v="20.125"/>
  </r>
  <r>
    <s v="INV170225025"/>
    <x v="7"/>
    <n v="25925000"/>
    <n v="25.925000000000001"/>
  </r>
  <r>
    <s v="INV180225026"/>
    <x v="0"/>
    <n v="35625000"/>
    <n v="35.625"/>
  </r>
  <r>
    <s v="INV030325001"/>
    <x v="0"/>
    <n v="26250000"/>
    <n v="26.25"/>
  </r>
  <r>
    <s v="INV040325002"/>
    <x v="1"/>
    <n v="32000000"/>
    <n v="32"/>
  </r>
  <r>
    <s v="INV050325003"/>
    <x v="2"/>
    <n v="24975000"/>
    <n v="24.975000000000001"/>
  </r>
  <r>
    <s v="INV060325004"/>
    <x v="3"/>
    <n v="22800000"/>
    <n v="22.8"/>
  </r>
  <r>
    <s v="INV060325005"/>
    <x v="4"/>
    <n v="32450000"/>
    <n v="32.450000000000003"/>
  </r>
  <r>
    <s v="INV070325006"/>
    <x v="5"/>
    <n v="27900000"/>
    <n v="27.9"/>
  </r>
  <r>
    <s v="INV080325007"/>
    <x v="6"/>
    <n v="17250000"/>
    <n v="17.25"/>
  </r>
  <r>
    <s v="INV080325008"/>
    <x v="7"/>
    <n v="22950000"/>
    <n v="22.95"/>
  </r>
  <r>
    <s v="INV090325009"/>
    <x v="8"/>
    <n v="23760000"/>
    <n v="23.76"/>
  </r>
  <r>
    <s v="INV100325010"/>
    <x v="10"/>
    <n v="47850000"/>
    <n v="47.85"/>
  </r>
  <r>
    <s v="INV110325011"/>
    <x v="0"/>
    <n v="26312500"/>
    <n v="26.3125"/>
  </r>
  <r>
    <s v="INV120325012"/>
    <x v="1"/>
    <n v="28700000"/>
    <n v="28.7"/>
  </r>
  <r>
    <s v="INV130325013"/>
    <x v="2"/>
    <n v="29700000"/>
    <n v="29.7"/>
  </r>
  <r>
    <s v="INV140325014"/>
    <x v="3"/>
    <n v="23750000"/>
    <n v="23.75"/>
  </r>
  <r>
    <s v="INV150325015"/>
    <x v="4"/>
    <n v="34100000"/>
    <n v="34.1"/>
  </r>
  <r>
    <s v="INV160325016"/>
    <x v="5"/>
    <n v="26100000"/>
    <n v="26.1"/>
  </r>
  <r>
    <s v="INV180325017"/>
    <x v="6"/>
    <n v="19550000"/>
    <n v="19.55"/>
  </r>
  <r>
    <s v="INV190325018"/>
    <x v="7"/>
    <n v="22100000"/>
    <n v="22.1"/>
  </r>
  <r>
    <s v="INV210325019"/>
    <x v="8"/>
    <n v="28800000"/>
    <n v="28.8"/>
  </r>
  <r>
    <s v="INV230325020"/>
    <x v="0"/>
    <n v="38750000"/>
    <n v="38.75"/>
  </r>
  <r>
    <s v="INV240325021"/>
    <x v="2"/>
    <n v="30375000"/>
    <n v="30.375"/>
  </r>
  <r>
    <s v="INV260325022"/>
    <x v="10"/>
    <n v="50025000"/>
    <n v="50.024999999999999"/>
  </r>
  <r>
    <s v="INV280325023"/>
    <x v="3"/>
    <n v="26600000"/>
    <n v="26.6"/>
  </r>
  <r>
    <s v="INV300325024"/>
    <x v="1"/>
    <n v="26000000"/>
    <n v="26"/>
  </r>
  <r>
    <s v="INV310325025"/>
    <x v="4"/>
    <n v="32450000"/>
    <n v="32.450000000000003"/>
  </r>
  <r>
    <s v="INV030425001"/>
    <x v="0"/>
    <n v="23125000"/>
    <n v="23.125"/>
  </r>
  <r>
    <s v="INV040425002"/>
    <x v="1"/>
    <n v="24500000"/>
    <n v="24.5"/>
  </r>
  <r>
    <s v="INV040425003"/>
    <x v="2"/>
    <n v="28350000"/>
    <n v="28.35"/>
  </r>
  <r>
    <s v="INV060425004"/>
    <x v="3"/>
    <n v="18810000"/>
    <n v="18.809999999999999"/>
  </r>
  <r>
    <s v="INV060425005"/>
    <x v="4"/>
    <n v="30250000"/>
    <n v="30.25"/>
  </r>
  <r>
    <s v="INV070425006"/>
    <x v="5"/>
    <n v="20970000"/>
    <n v="20.97"/>
  </r>
  <r>
    <s v="INV080425007"/>
    <x v="6"/>
    <n v="18975000"/>
    <n v="18.975000000000001"/>
  </r>
  <r>
    <s v="INV080425008"/>
    <x v="7"/>
    <n v="24565000"/>
    <n v="24.565000000000001"/>
  </r>
  <r>
    <s v="INV090425009"/>
    <x v="8"/>
    <n v="37800000"/>
    <n v="37.799999999999997"/>
  </r>
  <r>
    <s v="INV100425010"/>
    <x v="0"/>
    <n v="24875000"/>
    <n v="24.875"/>
  </r>
  <r>
    <s v="INV110425011"/>
    <x v="1"/>
    <n v="22100000"/>
    <n v="22.1"/>
  </r>
  <r>
    <s v="INV110425012"/>
    <x v="9"/>
    <n v="19635000"/>
    <n v="19.635000000000002"/>
  </r>
  <r>
    <s v="INV150425013"/>
    <x v="10"/>
    <n v="46400000"/>
    <n v="46.4"/>
  </r>
  <r>
    <s v="INV150425014"/>
    <x v="2"/>
    <n v="24030000"/>
    <n v="24.03"/>
  </r>
  <r>
    <s v="INV160425015"/>
    <x v="4"/>
    <n v="29040000"/>
    <n v="29.04"/>
  </r>
  <r>
    <s v="INV180425016"/>
    <x v="7"/>
    <n v="25585000"/>
    <n v="25.585000000000001"/>
  </r>
  <r>
    <s v="INV180425017"/>
    <x v="3"/>
    <n v="20805000"/>
    <n v="20.805"/>
  </r>
  <r>
    <s v="INV190425018"/>
    <x v="8"/>
    <n v="29280000"/>
    <n v="29.28"/>
  </r>
  <r>
    <s v="INV230425019"/>
    <x v="5"/>
    <n v="20790000"/>
    <n v="20.79"/>
  </r>
  <r>
    <s v="INV230425020"/>
    <x v="0"/>
    <n v="36875000"/>
    <n v="36.875"/>
  </r>
  <r>
    <s v="INV240425021"/>
    <x v="1"/>
    <n v="20750000"/>
    <n v="20.75"/>
  </r>
  <r>
    <s v="INV270425022"/>
    <x v="9"/>
    <n v="19740000"/>
    <n v="19.739999999999998"/>
  </r>
  <r>
    <s v="INV270425023"/>
    <x v="2"/>
    <n v="34290000"/>
    <n v="34.29"/>
  </r>
  <r>
    <s v="INV280425024"/>
    <x v="10"/>
    <n v="48720000"/>
    <n v="48.72"/>
  </r>
  <r>
    <s v="INV300425025"/>
    <x v="3"/>
    <n v="19095000"/>
    <n v="19.094999999999999"/>
  </r>
  <r>
    <s v="INV300425026"/>
    <x v="4"/>
    <n v="29425000"/>
    <n v="29.425000000000001"/>
  </r>
  <r>
    <s v="INV010525001"/>
    <x v="7"/>
    <n v="18955000"/>
    <n v="18.954999999999998"/>
  </r>
  <r>
    <s v="INV040525002"/>
    <x v="0"/>
    <n v="22750000"/>
    <n v="22.75"/>
  </r>
  <r>
    <s v="INV040525003"/>
    <x v="2"/>
    <n v="34560000"/>
    <n v="34.56"/>
  </r>
  <r>
    <s v="INV050525004"/>
    <x v="1"/>
    <n v="31000000"/>
    <n v="31"/>
  </r>
  <r>
    <s v="INV060525005"/>
    <x v="3"/>
    <n v="13775000"/>
    <n v="13.775"/>
  </r>
  <r>
    <s v="INV070525006"/>
    <x v="5"/>
    <n v="20520000"/>
    <n v="20.52"/>
  </r>
  <r>
    <s v="INV070525007"/>
    <x v="4"/>
    <n v="30250000"/>
    <n v="30.25"/>
  </r>
  <r>
    <s v="INV080525008"/>
    <x v="6"/>
    <n v="18860000"/>
    <n v="18.86"/>
  </r>
  <r>
    <s v="INV090525009"/>
    <x v="7"/>
    <n v="25925000"/>
    <n v="25.925000000000001"/>
  </r>
  <r>
    <s v="INV100525010"/>
    <x v="10"/>
    <n v="28710000"/>
    <n v="28.71"/>
  </r>
  <r>
    <s v="INV110525011"/>
    <x v="9"/>
    <n v="22260000"/>
    <n v="22.26"/>
  </r>
  <r>
    <s v="INV120525012"/>
    <x v="1"/>
    <n v="33400000"/>
    <n v="33.4"/>
  </r>
  <r>
    <s v="INV130525013"/>
    <x v="0"/>
    <n v="36125000"/>
    <n v="36.125"/>
  </r>
  <r>
    <s v="INV140525014"/>
    <x v="2"/>
    <n v="21195000"/>
    <n v="21.195"/>
  </r>
  <r>
    <s v="INV150525015"/>
    <x v="3"/>
    <n v="20995000"/>
    <n v="20.995000000000001"/>
  </r>
  <r>
    <s v="INV160525016"/>
    <x v="4"/>
    <n v="37400000"/>
    <n v="37.4"/>
  </r>
  <r>
    <s v="INV170525017"/>
    <x v="5"/>
    <n v="24795000"/>
    <n v="24.795000000000002"/>
  </r>
  <r>
    <s v="INV180525018"/>
    <x v="10"/>
    <n v="28782500"/>
    <n v="28.782499999999999"/>
  </r>
  <r>
    <s v="INV190525019"/>
    <x v="6"/>
    <n v="28060000"/>
    <n v="28.06"/>
  </r>
  <r>
    <s v="INV200525020"/>
    <x v="1"/>
    <n v="31100000"/>
    <n v="31.1"/>
  </r>
  <r>
    <s v="INV210525021"/>
    <x v="0"/>
    <n v="33500000"/>
    <n v="33.5"/>
  </r>
  <r>
    <s v="INV220525022"/>
    <x v="7"/>
    <n v="15895000"/>
    <n v="15.895"/>
  </r>
  <r>
    <s v="INV230525023"/>
    <x v="2"/>
    <n v="31455000"/>
    <n v="31.454999999999998"/>
  </r>
  <r>
    <s v="INV240525024"/>
    <x v="9"/>
    <n v="18532500"/>
    <n v="18.532499999999999"/>
  </r>
  <r>
    <s v="INV250525025"/>
    <x v="4"/>
    <n v="32450000"/>
    <n v="32.450000000000003"/>
  </r>
  <r>
    <s v="INV260525026"/>
    <x v="5"/>
    <n v="28890000"/>
    <n v="28.89"/>
  </r>
  <r>
    <s v="INV270525027"/>
    <x v="10"/>
    <n v="30160000"/>
    <n v="30.16"/>
  </r>
  <r>
    <s v="INV280525028"/>
    <x v="3"/>
    <n v="25175000"/>
    <n v="25.175000000000001"/>
  </r>
  <r>
    <s v="INV030625001"/>
    <x v="0"/>
    <n v="26875000"/>
    <n v="26.875"/>
  </r>
  <r>
    <s v="INV040625002"/>
    <x v="2"/>
    <n v="25515000"/>
    <n v="25.515000000000001"/>
  </r>
  <r>
    <s v="INV050625003"/>
    <x v="1"/>
    <n v="27500000"/>
    <n v="27.5"/>
  </r>
  <r>
    <s v="INV060625004"/>
    <x v="3"/>
    <n v="28737500"/>
    <n v="28.737500000000001"/>
  </r>
  <r>
    <s v="INV070625005"/>
    <x v="4"/>
    <n v="16940000"/>
    <n v="16.940000000000001"/>
  </r>
  <r>
    <s v="INV080625006"/>
    <x v="5"/>
    <n v="29880000"/>
    <n v="29.88"/>
  </r>
  <r>
    <s v="INV090625007"/>
    <x v="6"/>
    <n v="20470000"/>
    <n v="20.47"/>
  </r>
  <r>
    <s v="INV100625008"/>
    <x v="7"/>
    <n v="25330000"/>
    <n v="25.33"/>
  </r>
  <r>
    <s v="INV110625009"/>
    <x v="8"/>
    <n v="28920000"/>
    <n v="28.92"/>
  </r>
  <r>
    <s v="INV120625010"/>
    <x v="10"/>
    <n v="52925000"/>
    <n v="52.924999999999997"/>
  </r>
  <r>
    <s v="INV130625011"/>
    <x v="0"/>
    <n v="23437500"/>
    <n v="23.4375"/>
  </r>
  <r>
    <s v="INV140625012"/>
    <x v="2"/>
    <n v="28350000"/>
    <n v="28.35"/>
  </r>
  <r>
    <s v="INV150625013"/>
    <x v="3"/>
    <n v="28405000"/>
    <n v="28.405000000000001"/>
  </r>
  <r>
    <s v="INV160625014"/>
    <x v="1"/>
    <n v="25500000"/>
    <n v="25.5"/>
  </r>
  <r>
    <s v="INV170625015"/>
    <x v="5"/>
    <n v="28890000"/>
    <n v="28.89"/>
  </r>
  <r>
    <s v="INV180625016"/>
    <x v="4"/>
    <n v="21780000"/>
    <n v="21.78"/>
  </r>
  <r>
    <s v="INV190625017"/>
    <x v="6"/>
    <n v="16330000"/>
    <n v="16.329999999999998"/>
  </r>
  <r>
    <s v="INV200625018"/>
    <x v="7"/>
    <n v="24565000"/>
    <n v="24.565000000000001"/>
  </r>
  <r>
    <s v="INV210625019"/>
    <x v="8"/>
    <n v="29640000"/>
    <n v="29.64"/>
  </r>
  <r>
    <s v="INV220625020"/>
    <x v="10"/>
    <n v="54375000"/>
    <n v="54.375"/>
  </r>
  <r>
    <s v="INV230625021"/>
    <x v="0"/>
    <n v="27875000"/>
    <n v="27.875"/>
  </r>
  <r>
    <s v="INV240625022"/>
    <x v="2"/>
    <n v="36180000"/>
    <n v="36.18"/>
  </r>
  <r>
    <s v="INV250625023"/>
    <x v="3"/>
    <n v="29830000"/>
    <n v="29.83"/>
  </r>
  <r>
    <s v="INV260625024"/>
    <x v="5"/>
    <n v="26820000"/>
    <n v="26.82"/>
  </r>
  <r>
    <s v="INV270625025"/>
    <x v="4"/>
    <n v="20350000"/>
    <n v="20.350000000000001"/>
  </r>
  <r>
    <s v="INV280625026"/>
    <x v="6"/>
    <n v="27140000"/>
    <n v="27.14"/>
  </r>
  <r>
    <s v="INV030725001"/>
    <x v="0"/>
    <n v="30625000"/>
    <n v="30.625"/>
  </r>
  <r>
    <s v="INV040725002"/>
    <x v="1"/>
    <n v="31000000"/>
    <n v="31"/>
  </r>
  <r>
    <s v="INV040725003"/>
    <x v="2"/>
    <n v="26730000"/>
    <n v="26.73"/>
  </r>
  <r>
    <s v="INV050725004"/>
    <x v="3"/>
    <n v="27312500"/>
    <n v="27.3125"/>
  </r>
  <r>
    <s v="INV050725005"/>
    <x v="4"/>
    <n v="18150000"/>
    <n v="18.149999999999999"/>
  </r>
  <r>
    <s v="INV060725006"/>
    <x v="5"/>
    <n v="30780000"/>
    <n v="30.78"/>
  </r>
  <r>
    <s v="INV060725007"/>
    <x v="6"/>
    <n v="25415000"/>
    <n v="25.414999999999999"/>
  </r>
  <r>
    <s v="INV070725008"/>
    <x v="7"/>
    <n v="26775000"/>
    <n v="26.774999999999999"/>
  </r>
  <r>
    <s v="INV070725009"/>
    <x v="0"/>
    <n v="23625000"/>
    <n v="23.625"/>
  </r>
  <r>
    <s v="INV080725010"/>
    <x v="2"/>
    <n v="37327500"/>
    <n v="37.327500000000001"/>
  </r>
  <r>
    <s v="INV080725011"/>
    <x v="9"/>
    <n v="21525000"/>
    <n v="21.524999999999999"/>
  </r>
  <r>
    <s v="INV080725012"/>
    <x v="8"/>
    <n v="35400000"/>
    <n v="35.4"/>
  </r>
  <r>
    <s v="INV090725013"/>
    <x v="1"/>
    <n v="31200000"/>
    <n v="31.2"/>
  </r>
  <r>
    <s v="INV090725014"/>
    <x v="10"/>
    <n v="36975000"/>
    <n v="36.975000000000001"/>
  </r>
  <r>
    <s v="INV100725015"/>
    <x v="3"/>
    <n v="32300000"/>
    <n v="32.299999999999997"/>
  </r>
  <r>
    <s v="INV100725016"/>
    <x v="0"/>
    <n v="34375000"/>
    <n v="34.375"/>
  </r>
  <r>
    <s v="INV110725017"/>
    <x v="5"/>
    <n v="27945000"/>
    <n v="27.945"/>
  </r>
  <r>
    <s v="INV120725018"/>
    <x v="2"/>
    <n v="30375000"/>
    <n v="30.375"/>
  </r>
  <r>
    <s v="INV130725019"/>
    <x v="4"/>
    <n v="36575000"/>
    <n v="36.575000000000003"/>
  </r>
  <r>
    <s v="INV140725020"/>
    <x v="7"/>
    <n v="24395000"/>
    <n v="24.395"/>
  </r>
  <r>
    <s v="INV150720021"/>
    <x v="1"/>
    <n v="32000000"/>
    <n v="32"/>
  </r>
  <r>
    <s v="INV160720022"/>
    <x v="10"/>
    <n v="38425000"/>
    <n v="38.424999999999997"/>
  </r>
  <r>
    <s v="INV170720023"/>
    <x v="9"/>
    <n v="22050000"/>
    <n v="22.05"/>
  </r>
  <r>
    <s v="INV180725024"/>
    <x v="2"/>
    <n v="40230000"/>
    <n v="40.229999999999997"/>
  </r>
  <r>
    <s v="INV190725025"/>
    <x v="5"/>
    <n v="31050000"/>
    <n v="31.05"/>
  </r>
  <r>
    <s v="INV200725026"/>
    <x v="4"/>
    <n v="34100000"/>
    <n v="34.1"/>
  </r>
  <r>
    <s v="INV030825001"/>
    <x v="0"/>
    <n v="31250000"/>
    <n v="31.25"/>
  </r>
  <r>
    <s v="INV040825002"/>
    <x v="1"/>
    <n v="31000000"/>
    <n v="31"/>
  </r>
  <r>
    <s v="INV050825003"/>
    <x v="2"/>
    <n v="29700000"/>
    <n v="29.7"/>
  </r>
  <r>
    <s v="INV060825004"/>
    <x v="3"/>
    <n v="17575000"/>
    <n v="17.574999999999999"/>
  </r>
  <r>
    <s v="INV070825005"/>
    <x v="4"/>
    <n v="32450000"/>
    <n v="32.450000000000003"/>
  </r>
  <r>
    <s v="INV080825006"/>
    <x v="5"/>
    <n v="24300000"/>
    <n v="24.3"/>
  </r>
  <r>
    <s v="INV090825007"/>
    <x v="6"/>
    <n v="18975000"/>
    <n v="18.975000000000001"/>
  </r>
  <r>
    <s v="INV100825008"/>
    <x v="7"/>
    <n v="17850000"/>
    <n v="17.850000000000001"/>
  </r>
  <r>
    <s v="INV110825009"/>
    <x v="8"/>
    <n v="39000000"/>
    <n v="39"/>
  </r>
  <r>
    <s v="INV120825010"/>
    <x v="9"/>
    <n v="29400000"/>
    <n v="29.4"/>
  </r>
  <r>
    <s v="INV130825011"/>
    <x v="10"/>
    <n v="49300000"/>
    <n v="49.3"/>
  </r>
  <r>
    <s v="INV140825012"/>
    <x v="0"/>
    <n v="32500000"/>
    <n v="32.5"/>
  </r>
  <r>
    <s v="INV150825013"/>
    <x v="2"/>
    <n v="31050000"/>
    <n v="31.05"/>
  </r>
  <r>
    <s v="INV160825014"/>
    <x v="4"/>
    <n v="31900000"/>
    <n v="31.9"/>
  </r>
  <r>
    <s v="INV170825015"/>
    <x v="1"/>
    <n v="31000000"/>
    <n v="31"/>
  </r>
  <r>
    <s v="INV180825016"/>
    <x v="5"/>
    <n v="24750000"/>
    <n v="24.75"/>
  </r>
  <r>
    <s v="INV190825017"/>
    <x v="7"/>
    <n v="20400000"/>
    <n v="20.399999999999999"/>
  </r>
  <r>
    <s v="INV200825018"/>
    <x v="3"/>
    <n v="19000000"/>
    <n v="19"/>
  </r>
  <r>
    <s v="INV210825019"/>
    <x v="6"/>
    <n v="20125000"/>
    <n v="20.125"/>
  </r>
  <r>
    <s v="INV220825020"/>
    <x v="10"/>
    <n v="51475000"/>
    <n v="51.475000000000001"/>
  </r>
  <r>
    <s v="INV230825021"/>
    <x v="8"/>
    <n v="31800000"/>
    <n v="31.8"/>
  </r>
  <r>
    <s v="INV240825022"/>
    <x v="0"/>
    <n v="35625000"/>
    <n v="35.625"/>
  </r>
  <r>
    <s v="INV250825023"/>
    <x v="9"/>
    <n v="30975000"/>
    <n v="30.975000000000001"/>
  </r>
  <r>
    <s v="INV260825024"/>
    <x v="2"/>
    <n v="29025000"/>
    <n v="29.024999999999999"/>
  </r>
  <r>
    <s v="INV270825025"/>
    <x v="5"/>
    <n v="27450000"/>
    <n v="27.45"/>
  </r>
  <r>
    <s v="INV030925001"/>
    <x v="0"/>
    <n v="26875000"/>
    <n v="26.875"/>
  </r>
  <r>
    <s v="INV040925002"/>
    <x v="2"/>
    <n v="43200000"/>
    <n v="43.2"/>
  </r>
  <r>
    <s v="INV050925003"/>
    <x v="1"/>
    <n v="18500000"/>
    <n v="18.5"/>
  </r>
  <r>
    <s v="INV060925004"/>
    <x v="3"/>
    <n v="24700000"/>
    <n v="24.7"/>
  </r>
  <r>
    <s v="INV070925005"/>
    <x v="5"/>
    <n v="26820000"/>
    <n v="26.82"/>
  </r>
  <r>
    <s v="INV070925006"/>
    <x v="4"/>
    <n v="36850000"/>
    <n v="36.85"/>
  </r>
  <r>
    <s v="INV080925007"/>
    <x v="6"/>
    <n v="20010000"/>
    <n v="20.010000000000002"/>
  </r>
  <r>
    <s v="INV090925008"/>
    <x v="0"/>
    <n v="35750000"/>
    <n v="35.75"/>
  </r>
  <r>
    <s v="INV100925009"/>
    <x v="7"/>
    <n v="26350000"/>
    <n v="26.35"/>
  </r>
  <r>
    <s v="INV110925010"/>
    <x v="2"/>
    <n v="33075000"/>
    <n v="33.075000000000003"/>
  </r>
  <r>
    <s v="INV120925011"/>
    <x v="8"/>
    <n v="25200000"/>
    <n v="25.2"/>
  </r>
  <r>
    <s v="INV130925012"/>
    <x v="5"/>
    <n v="33750000"/>
    <n v="33.75"/>
  </r>
  <r>
    <s v="INV130925013"/>
    <x v="3"/>
    <n v="28310000"/>
    <n v="28.31"/>
  </r>
  <r>
    <s v="INV140925014"/>
    <x v="9"/>
    <n v="16170000"/>
    <n v="16.170000000000002"/>
  </r>
  <r>
    <s v="INV150925015"/>
    <x v="10"/>
    <n v="58725000"/>
    <n v="58.725000000000001"/>
  </r>
  <r>
    <s v="INV160925016"/>
    <x v="1"/>
    <n v="26000000"/>
    <n v="26"/>
  </r>
  <r>
    <s v="INV170925017"/>
    <x v="4"/>
    <n v="25300000"/>
    <n v="25.3"/>
  </r>
  <r>
    <s v="INV180925018"/>
    <x v="0"/>
    <n v="42750000"/>
    <n v="42.75"/>
  </r>
  <r>
    <s v="INV190925019"/>
    <x v="5"/>
    <n v="26865000"/>
    <n v="26.864999999999998"/>
  </r>
  <r>
    <s v="INV200925020"/>
    <x v="2"/>
    <n v="42525000"/>
    <n v="42.524999999999999"/>
  </r>
  <r>
    <s v="INV210925021"/>
    <x v="6"/>
    <n v="21160000"/>
    <n v="21.16"/>
  </r>
  <r>
    <s v="INV220925022"/>
    <x v="10"/>
    <n v="60900000"/>
    <n v="60.9"/>
  </r>
  <r>
    <s v="INV230925023"/>
    <x v="3"/>
    <n v="28405000"/>
    <n v="28.405000000000001"/>
  </r>
  <r>
    <s v="INV240925024"/>
    <x v="8"/>
    <n v="30000000"/>
    <n v="30"/>
  </r>
  <r>
    <s v="INV250925025"/>
    <x v="1"/>
    <n v="26800000"/>
    <n v="26.8"/>
  </r>
  <r>
    <s v="INV260925026"/>
    <x v="7"/>
    <n v="26350000"/>
    <n v="26.35"/>
  </r>
  <r>
    <s v="INV270925027"/>
    <x v="4"/>
    <n v="37950000"/>
    <n v="37.950000000000003"/>
  </r>
  <r>
    <s v="INV031025001"/>
    <x v="0"/>
    <n v="26250000"/>
    <n v="26.25"/>
  </r>
  <r>
    <s v="INV051025002"/>
    <x v="1"/>
    <n v="18500000"/>
    <n v="18.5"/>
  </r>
  <r>
    <s v="INV061025003"/>
    <x v="2"/>
    <n v="43200000"/>
    <n v="43.2"/>
  </r>
  <r>
    <s v="INV071025004"/>
    <x v="3"/>
    <n v="26125000"/>
    <n v="26.125"/>
  </r>
  <r>
    <s v="INV081025005"/>
    <x v="4"/>
    <n v="21780000"/>
    <n v="21.78"/>
  </r>
  <r>
    <s v="INV091025006"/>
    <x v="5"/>
    <n v="27450000"/>
    <n v="27.45"/>
  </r>
  <r>
    <s v="INV101025007"/>
    <x v="6"/>
    <n v="25760000"/>
    <n v="25.76"/>
  </r>
  <r>
    <s v="INV111025008"/>
    <x v="7"/>
    <n v="22737500"/>
    <n v="22.737500000000001"/>
  </r>
  <r>
    <s v="INV121025009"/>
    <x v="8"/>
    <n v="34680000"/>
    <n v="34.68"/>
  </r>
  <r>
    <s v="INV131025010"/>
    <x v="9"/>
    <n v="18480000"/>
    <n v="18.48"/>
  </r>
  <r>
    <s v="INV141025011"/>
    <x v="10"/>
    <n v="50750000"/>
    <n v="50.75"/>
  </r>
  <r>
    <s v="INV151025012"/>
    <x v="0"/>
    <n v="32500000"/>
    <n v="32.5"/>
  </r>
  <r>
    <s v="INV161025013"/>
    <x v="1"/>
    <n v="24000000"/>
    <n v="24"/>
  </r>
  <r>
    <s v="INV171025014"/>
    <x v="2"/>
    <n v="42525000"/>
    <n v="42.524999999999999"/>
  </r>
  <r>
    <s v="INV181025015"/>
    <x v="3"/>
    <n v="20995000"/>
    <n v="20.995000000000001"/>
  </r>
  <r>
    <s v="INV191025016"/>
    <x v="4"/>
    <n v="30250000"/>
    <n v="30.25"/>
  </r>
  <r>
    <s v="INV201025017"/>
    <x v="5"/>
    <n v="20970000"/>
    <n v="20.97"/>
  </r>
  <r>
    <s v="INV211025018"/>
    <x v="6"/>
    <n v="34270000"/>
    <n v="34.270000000000003"/>
  </r>
  <r>
    <s v="INV221025019"/>
    <x v="7"/>
    <n v="15980000"/>
    <n v="15.98"/>
  </r>
  <r>
    <s v="INV231025020"/>
    <x v="8"/>
    <n v="38400000"/>
    <n v="38.4"/>
  </r>
  <r>
    <s v="INV241025021"/>
    <x v="9"/>
    <n v="25725000"/>
    <n v="25.725000000000001"/>
  </r>
  <r>
    <s v="INV251025022"/>
    <x v="10"/>
    <n v="51620000"/>
    <n v="51.62"/>
  </r>
  <r>
    <s v="INV261025023"/>
    <x v="0"/>
    <n v="25875000"/>
    <n v="25.875"/>
  </r>
  <r>
    <s v="INV271025024"/>
    <x v="1"/>
    <n v="29400000"/>
    <n v="29.4"/>
  </r>
  <r>
    <s v="INV281025025"/>
    <x v="2"/>
    <n v="41850000"/>
    <n v="41.85"/>
  </r>
  <r>
    <s v="INV031125001"/>
    <x v="0"/>
    <n v="26875000"/>
    <n v="26.875"/>
  </r>
  <r>
    <s v="INV041125002"/>
    <x v="2"/>
    <n v="24975000"/>
    <n v="24.975000000000001"/>
  </r>
  <r>
    <s v="INV041125003"/>
    <x v="5"/>
    <n v="27180000"/>
    <n v="27.18"/>
  </r>
  <r>
    <s v="INV051125004"/>
    <x v="3"/>
    <n v="16625000"/>
    <n v="16.625"/>
  </r>
  <r>
    <s v="INV051125005"/>
    <x v="1"/>
    <n v="26400000"/>
    <n v="26.4"/>
  </r>
  <r>
    <s v="INV061125006"/>
    <x v="4"/>
    <n v="35200000"/>
    <n v="35.200000000000003"/>
  </r>
  <r>
    <s v="INV061125007"/>
    <x v="6"/>
    <n v="16675000"/>
    <n v="16.675000000000001"/>
  </r>
  <r>
    <s v="INV071125008"/>
    <x v="7"/>
    <n v="24310000"/>
    <n v="24.31"/>
  </r>
  <r>
    <s v="INV071125009"/>
    <x v="0"/>
    <n v="24375000"/>
    <n v="24.375"/>
  </r>
  <r>
    <s v="INV081125010"/>
    <x v="8"/>
    <n v="28920000"/>
    <n v="28.92"/>
  </r>
  <r>
    <s v="INV091125011"/>
    <x v="10"/>
    <n v="51620000"/>
    <n v="51.62"/>
  </r>
  <r>
    <s v="INV101125012"/>
    <x v="3"/>
    <n v="28310000"/>
    <n v="28.31"/>
  </r>
  <r>
    <s v="INV111125013"/>
    <x v="2"/>
    <n v="28350000"/>
    <n v="28.35"/>
  </r>
  <r>
    <s v="INV121125014"/>
    <x v="1"/>
    <n v="33000000"/>
    <n v="33"/>
  </r>
  <r>
    <s v="INV131125015"/>
    <x v="5"/>
    <n v="16560000"/>
    <n v="16.559999999999999"/>
  </r>
  <r>
    <s v="INV141125016"/>
    <x v="6"/>
    <n v="17940000"/>
    <n v="17.940000000000001"/>
  </r>
  <r>
    <s v="INV151125017"/>
    <x v="4"/>
    <n v="31790000"/>
    <n v="31.79"/>
  </r>
  <r>
    <s v="INV161125018"/>
    <x v="10"/>
    <n v="52490000"/>
    <n v="52.49"/>
  </r>
  <r>
    <s v="INV171125019"/>
    <x v="0"/>
    <n v="34250000"/>
    <n v="34.25"/>
  </r>
  <r>
    <s v="INV181125020"/>
    <x v="3"/>
    <n v="18905000"/>
    <n v="18.905000000000001"/>
  </r>
  <r>
    <s v="INV191125021"/>
    <x v="7"/>
    <n v="25925000"/>
    <n v="25.925000000000001"/>
  </r>
  <r>
    <s v="INV201125022"/>
    <x v="2"/>
    <n v="33480000"/>
    <n v="33.479999999999997"/>
  </r>
  <r>
    <s v="INV211125023"/>
    <x v="9"/>
    <n v="17535000"/>
    <n v="17.535"/>
  </r>
  <r>
    <s v="INV221125024"/>
    <x v="8"/>
    <n v="26760000"/>
    <n v="26.76"/>
  </r>
  <r>
    <s v="INV231125025"/>
    <x v="5"/>
    <n v="25830000"/>
    <n v="25.83"/>
  </r>
  <r>
    <s v="INV241125026"/>
    <x v="0"/>
    <n v="39000000"/>
    <n v="39"/>
  </r>
  <r>
    <s v="INV031225001"/>
    <x v="0"/>
    <n v="23125000"/>
    <n v="23.125"/>
  </r>
  <r>
    <s v="INV041225002"/>
    <x v="1"/>
    <n v="29500000"/>
    <n v="29.5"/>
  </r>
  <r>
    <s v="INV041225003"/>
    <x v="2"/>
    <n v="28350000"/>
    <n v="28.35"/>
  </r>
  <r>
    <s v="INV051225004"/>
    <x v="3"/>
    <n v="16530000"/>
    <n v="16.53"/>
  </r>
  <r>
    <s v="INV051225005"/>
    <x v="4"/>
    <n v="28600000"/>
    <n v="28.6"/>
  </r>
  <r>
    <s v="INV061225006"/>
    <x v="5"/>
    <n v="29250000"/>
    <n v="29.25"/>
  </r>
  <r>
    <s v="INV061225007"/>
    <x v="6"/>
    <n v="17020000"/>
    <n v="17.02"/>
  </r>
  <r>
    <s v="INV071225008"/>
    <x v="7"/>
    <n v="17850000"/>
    <n v="17.850000000000001"/>
  </r>
  <r>
    <s v="INV071225009"/>
    <x v="0"/>
    <n v="41500000"/>
    <n v="41.5"/>
  </r>
  <r>
    <s v="INV081225010"/>
    <x v="8"/>
    <n v="30600000"/>
    <n v="30.6"/>
  </r>
  <r>
    <s v="INV081225011"/>
    <x v="3"/>
    <n v="35910000"/>
    <n v="35.909999999999997"/>
  </r>
  <r>
    <s v="INV091225012"/>
    <x v="10"/>
    <n v="45675000"/>
    <n v="45.674999999999997"/>
  </r>
  <r>
    <s v="INV091225013"/>
    <x v="1"/>
    <n v="28900000"/>
    <n v="28.9"/>
  </r>
  <r>
    <s v="INV101225014"/>
    <x v="2"/>
    <n v="26190000"/>
    <n v="26.19"/>
  </r>
  <r>
    <s v="INV111225015"/>
    <x v="0"/>
    <n v="43750000"/>
    <n v="43.75"/>
  </r>
  <r>
    <s v="INV121225016"/>
    <x v="7"/>
    <n v="19125000"/>
    <n v="19.125"/>
  </r>
  <r>
    <s v="INV131225017"/>
    <x v="4"/>
    <n v="30030000"/>
    <n v="30.03"/>
  </r>
  <r>
    <s v="INV141225018"/>
    <x v="6"/>
    <n v="18975000"/>
    <n v="18.975000000000001"/>
  </r>
  <r>
    <s v="INV151225019"/>
    <x v="5"/>
    <n v="27720000"/>
    <n v="27.72"/>
  </r>
  <r>
    <s v="INV161225020"/>
    <x v="8"/>
    <n v="29040000"/>
    <n v="29.04"/>
  </r>
  <r>
    <s v="INV171225021"/>
    <x v="10"/>
    <n v="48430000"/>
    <n v="48.43"/>
  </r>
  <r>
    <s v="INV181225022"/>
    <x v="3"/>
    <n v="27265000"/>
    <n v="27.265000000000001"/>
  </r>
  <r>
    <s v="INV191225023"/>
    <x v="0"/>
    <n v="45250000"/>
    <n v="45.25"/>
  </r>
  <r>
    <s v="INV201225024"/>
    <x v="2"/>
    <n v="28080000"/>
    <n v="28.08"/>
  </r>
  <r>
    <s v="INV211225025"/>
    <x v="7"/>
    <n v="19635000"/>
    <n v="19.635000000000002"/>
  </r>
  <r>
    <s v="INV221225026"/>
    <x v="1"/>
    <n v="29800000"/>
    <n v="29.8"/>
  </r>
  <r>
    <s v="INV231225027"/>
    <x v="4"/>
    <n v="30250000"/>
    <n v="30.25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s v="PT001"/>
    <x v="0"/>
    <n v="74040"/>
    <n v="9.2160621374691928E-2"/>
  </r>
  <r>
    <s v="PT002"/>
    <x v="1"/>
    <n v="115275"/>
    <n v="0.14348751524807687"/>
  </r>
  <r>
    <s v="PT003"/>
    <x v="2"/>
    <n v="128865"/>
    <n v="0.16040354502228085"/>
  </r>
  <r>
    <s v="PT004"/>
    <x v="3"/>
    <n v="114210"/>
    <n v="0.14216186611566134"/>
  </r>
  <r>
    <s v="PT005"/>
    <x v="4"/>
    <n v="123660"/>
    <n v="0.15392466827653165"/>
  </r>
  <r>
    <s v="PT006"/>
    <x v="5"/>
    <n v="115385"/>
    <n v="0.14362443675471134"/>
  </r>
  <r>
    <s v="PT007"/>
    <x v="6"/>
    <n v="131945"/>
    <n v="0.16423734720804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">
  <r>
    <s v="INV030125001"/>
    <x v="0"/>
    <s v="DO030125001"/>
    <s v="PO01012501"/>
    <s v="PT Maju Jaya Plastik"/>
    <s v="BP001"/>
    <x v="0"/>
    <n v="1205"/>
    <s v="kg"/>
    <n v="12500"/>
    <n v="15062500"/>
  </r>
  <r>
    <s v="INV040125002"/>
    <x v="1"/>
    <s v="DO040125002"/>
    <s v="PO01012502"/>
    <s v="PT Surya Polimer Indonesia"/>
    <s v="BP002"/>
    <x v="1"/>
    <n v="3015"/>
    <s v="kg"/>
    <n v="10000"/>
    <n v="30150000"/>
  </r>
  <r>
    <s v="INV050125003"/>
    <x v="2"/>
    <s v="DO050125003"/>
    <s v="PO02012501"/>
    <s v="PT Mitra Plastik Nusantara"/>
    <s v="BP003"/>
    <x v="2"/>
    <n v="2150"/>
    <s v="kg"/>
    <n v="13500"/>
    <n v="29025000"/>
  </r>
  <r>
    <s v="INV050125004"/>
    <x v="2"/>
    <s v="DO050125004"/>
    <s v="PO02012502"/>
    <s v="PT Global Recycle Industry"/>
    <s v="BP004"/>
    <x v="3"/>
    <n v="1890"/>
    <s v="kg"/>
    <n v="9500"/>
    <n v="17955000"/>
  </r>
  <r>
    <s v="INV060125005"/>
    <x v="3"/>
    <s v="DO060125005"/>
    <s v="PO03012501"/>
    <s v="PT Indo Plastik Mandiri"/>
    <s v="BP005"/>
    <x v="4"/>
    <n v="2750"/>
    <s v="kg"/>
    <n v="11000"/>
    <n v="30250000"/>
  </r>
  <r>
    <s v="INV070125006"/>
    <x v="4"/>
    <s v="DO070125006"/>
    <s v="PO03012502"/>
    <s v="PT Cahaya Plastik Abadi"/>
    <s v="BP006"/>
    <x v="5"/>
    <n v="3320"/>
    <s v="kg"/>
    <n v="9000"/>
    <n v="29880000"/>
  </r>
  <r>
    <s v="INV070125007"/>
    <x v="4"/>
    <s v="DO070125007"/>
    <s v="PO04012501"/>
    <s v="PT Bintang Daur Ulang"/>
    <s v="BP007"/>
    <x v="6"/>
    <n v="1450"/>
    <s v="kg"/>
    <n v="11500"/>
    <n v="16675000"/>
  </r>
  <r>
    <s v="INV080125008"/>
    <x v="5"/>
    <s v="DO080125008"/>
    <s v="PO04012502"/>
    <s v="PT Maju Jaya Plastik"/>
    <s v="BP008"/>
    <x v="7"/>
    <n v="2100"/>
    <s v="kg"/>
    <n v="8500"/>
    <n v="17850000"/>
  </r>
  <r>
    <s v="INV090125009"/>
    <x v="6"/>
    <s v="DO090125009"/>
    <s v="PO05012501"/>
    <s v="PT Surya Polimer Indonesia"/>
    <s v="BP009"/>
    <x v="8"/>
    <n v="3980"/>
    <s v="kg"/>
    <n v="12000"/>
    <n v="47760000"/>
  </r>
  <r>
    <s v="INV100125010"/>
    <x v="7"/>
    <s v="DO100125010"/>
    <s v="PO06012501"/>
    <s v="PT Mitra Plastik Nusantara"/>
    <s v="BP010"/>
    <x v="9"/>
    <n v="2560"/>
    <s v="kg"/>
    <n v="10500"/>
    <n v="26880000"/>
  </r>
  <r>
    <s v="INV110125011"/>
    <x v="8"/>
    <s v="DO110125011"/>
    <s v="PO07012501"/>
    <s v="PT Global Recycle Industry"/>
    <s v="BP011"/>
    <x v="10"/>
    <n v="3175"/>
    <s v="kg"/>
    <n v="14500"/>
    <n v="46037500"/>
  </r>
  <r>
    <s v="INV120125012"/>
    <x v="9"/>
    <s v="DO120125012"/>
    <s v="PO08012501"/>
    <s v="PT Indo Plastik Mandiri"/>
    <s v="BP001"/>
    <x v="0"/>
    <n v="1875"/>
    <s v="kg"/>
    <n v="12500"/>
    <n v="23437500"/>
  </r>
  <r>
    <s v="INV130125013"/>
    <x v="10"/>
    <s v="DO130125013"/>
    <s v="PO09012501"/>
    <s v="PT Cahaya Plastik Abadi"/>
    <s v="BP002"/>
    <x v="1"/>
    <n v="2250"/>
    <s v="kg"/>
    <n v="10000"/>
    <n v="22500000"/>
  </r>
  <r>
    <s v="INV140125014"/>
    <x v="11"/>
    <s v="DO140125014"/>
    <s v="PO10012501"/>
    <s v="PT Bintang Daur Ulang"/>
    <s v="BP003"/>
    <x v="2"/>
    <n v="1650"/>
    <s v="kg"/>
    <n v="13500"/>
    <n v="22275000"/>
  </r>
  <r>
    <s v="INV150125015"/>
    <x v="12"/>
    <s v="DO150125015"/>
    <s v="PO11012501"/>
    <s v="PT Maju Jaya Plastik"/>
    <s v="BP004"/>
    <x v="3"/>
    <n v="2890"/>
    <s v="kg"/>
    <n v="9500"/>
    <n v="27455000"/>
  </r>
  <r>
    <s v="INV160125016"/>
    <x v="13"/>
    <s v="DO160125016"/>
    <s v="PO12012501"/>
    <s v="PT Surya Polimer Indonesia"/>
    <s v="BP005"/>
    <x v="4"/>
    <n v="3200"/>
    <s v="kg"/>
    <n v="11000"/>
    <n v="35200000"/>
  </r>
  <r>
    <s v="INV170125017"/>
    <x v="14"/>
    <s v="DO170125017"/>
    <s v="PO13012501"/>
    <s v="PT Mitra Plastik Nusantara"/>
    <s v="BP006"/>
    <x v="5"/>
    <n v="1425"/>
    <s v="kg"/>
    <n v="9000"/>
    <n v="12825000"/>
  </r>
  <r>
    <s v="INV180125018"/>
    <x v="15"/>
    <s v="DO180125018"/>
    <s v="PO14012501"/>
    <s v="PT Global Recycle Industry"/>
    <s v="BP007"/>
    <x v="6"/>
    <n v="2780"/>
    <s v="kg"/>
    <n v="11500"/>
    <n v="31970000"/>
  </r>
  <r>
    <s v="INV190125019"/>
    <x v="16"/>
    <s v="DO190125019"/>
    <s v="PO15012501"/>
    <s v="PT Indo Plastik Mandiri"/>
    <s v="BP008"/>
    <x v="7"/>
    <n v="3340"/>
    <s v="kg"/>
    <n v="8500"/>
    <n v="28390000"/>
  </r>
  <r>
    <s v="INV200125020"/>
    <x v="17"/>
    <s v="DO200125020"/>
    <s v="PO16012501"/>
    <s v="PT Cahaya Plastik Abadi"/>
    <s v="BP009"/>
    <x v="8"/>
    <n v="2450"/>
    <s v="kg"/>
    <n v="12000"/>
    <n v="29400000"/>
  </r>
  <r>
    <s v="INV220125021"/>
    <x v="18"/>
    <s v="DO220125021"/>
    <s v="PO18012501"/>
    <s v="PT Bintang Daur Ulang"/>
    <s v="BP010"/>
    <x v="9"/>
    <n v="1870"/>
    <s v="kg"/>
    <n v="10500"/>
    <n v="19635000"/>
  </r>
  <r>
    <s v="INV240125022"/>
    <x v="19"/>
    <s v="DO240125022"/>
    <s v="PO20012501"/>
    <s v="PT Maju Jaya Plastik"/>
    <s v="BP011"/>
    <x v="10"/>
    <n v="2990"/>
    <s v="kg"/>
    <n v="14500"/>
    <n v="43355000"/>
  </r>
  <r>
    <s v="INV260125023"/>
    <x v="20"/>
    <s v="DO260125023"/>
    <s v="PO23012501"/>
    <s v="PT Surya Polimer Indonesia"/>
    <s v="BP002"/>
    <x v="1"/>
    <n v="2150"/>
    <s v="kg"/>
    <n v="10000"/>
    <n v="21500000"/>
  </r>
  <r>
    <s v="INV290125024"/>
    <x v="21"/>
    <s v="DO290125024"/>
    <s v="PO26012501"/>
    <s v="PT Mitra Plastik Nusantara"/>
    <s v="BP003"/>
    <x v="2"/>
    <n v="1980"/>
    <s v="kg"/>
    <n v="13500"/>
    <n v="26730000"/>
  </r>
  <r>
    <s v="INV010225001"/>
    <x v="22"/>
    <s v="DO010225001"/>
    <s v="PO29012501"/>
    <s v="PT Global Recycle Industry"/>
    <s v="BP004"/>
    <x v="3"/>
    <n v="3100"/>
    <s v="kg"/>
    <n v="9500"/>
    <n v="29450000"/>
  </r>
  <r>
    <s v="INV030225002"/>
    <x v="23"/>
    <s v="DO030225002"/>
    <s v="PO01022501"/>
    <s v="PT Maju Jaya Plastik"/>
    <s v="BP001"/>
    <x v="0"/>
    <n v="2400"/>
    <s v="kg"/>
    <n v="12500"/>
    <n v="30000000"/>
  </r>
  <r>
    <s v="INV040225003"/>
    <x v="24"/>
    <s v="DO040225003"/>
    <s v="PO01022502"/>
    <s v="PT Surya Polimer Indonesia"/>
    <s v="BP003"/>
    <x v="2"/>
    <n v="1850"/>
    <s v="kg"/>
    <n v="13500"/>
    <n v="24975000"/>
  </r>
  <r>
    <s v="INV050225004"/>
    <x v="25"/>
    <s v="DO050225004"/>
    <s v="PO01022503"/>
    <s v="PT Global Recycle Industry"/>
    <s v="BP002"/>
    <x v="1"/>
    <n v="3150"/>
    <s v="kg"/>
    <n v="10000"/>
    <n v="31500000"/>
  </r>
  <r>
    <s v="INV050225005"/>
    <x v="25"/>
    <s v="DO050225005"/>
    <s v="PO02022501"/>
    <s v="PT Indo Plastik Mandiri"/>
    <s v="BP005"/>
    <x v="4"/>
    <n v="2950"/>
    <s v="kg"/>
    <n v="11000"/>
    <n v="32450000"/>
  </r>
  <r>
    <s v="INV060225006"/>
    <x v="26"/>
    <s v="DO060225006"/>
    <s v="PO02022502"/>
    <s v="PT Cahaya Plastik Abadi"/>
    <s v="BP006"/>
    <x v="5"/>
    <n v="1700"/>
    <s v="kg"/>
    <n v="9000"/>
    <n v="15300000"/>
  </r>
  <r>
    <s v="INV060225007"/>
    <x v="26"/>
    <s v="DO060225007"/>
    <s v="PO03022501"/>
    <s v="PT Mitra Plastik Nusantara"/>
    <s v="BP004"/>
    <x v="3"/>
    <n v="2650"/>
    <s v="kg"/>
    <n v="9500"/>
    <n v="25175000"/>
  </r>
  <r>
    <s v="INV070225008"/>
    <x v="27"/>
    <s v="DO070225008"/>
    <s v="PO03022502"/>
    <s v="PT Bintang Daur Ulang"/>
    <s v="BP007"/>
    <x v="6"/>
    <n v="1425"/>
    <s v="kg"/>
    <n v="11500"/>
    <n v="16387500"/>
  </r>
  <r>
    <s v="INV070225009"/>
    <x v="27"/>
    <s v="DO070225009"/>
    <s v="PO04022501"/>
    <s v="PT Surya Polimer Indonesia"/>
    <s v="BP008"/>
    <x v="7"/>
    <n v="3350"/>
    <s v="kg"/>
    <n v="8500"/>
    <n v="28475000"/>
  </r>
  <r>
    <s v="INV080225010"/>
    <x v="28"/>
    <s v="DO080225010"/>
    <s v="PO04022502"/>
    <s v="PT Maju Jaya Plastik"/>
    <s v="BP001"/>
    <x v="0"/>
    <n v="2100"/>
    <s v="kg"/>
    <n v="12500"/>
    <n v="26250000"/>
  </r>
  <r>
    <s v="INV080225011"/>
    <x v="28"/>
    <s v="DO080225011"/>
    <s v="PO05022501"/>
    <s v="PT Global Recycle Industry"/>
    <s v="BP011"/>
    <x v="10"/>
    <n v="3900"/>
    <s v="kg"/>
    <n v="14500"/>
    <n v="56550000"/>
  </r>
  <r>
    <s v="INV090225012"/>
    <x v="29"/>
    <s v="DO090225012"/>
    <s v="PO05022502"/>
    <s v="PT Indo Plastik Mandiri"/>
    <s v="BP009"/>
    <x v="8"/>
    <n v="2500"/>
    <s v="kg"/>
    <n v="12000"/>
    <n v="30000000"/>
  </r>
  <r>
    <s v="INV090225013"/>
    <x v="29"/>
    <s v="DO090225013"/>
    <s v="PO06022501"/>
    <s v="PT Cahaya Plastik Abadi"/>
    <s v="BP003"/>
    <x v="2"/>
    <n v="1780"/>
    <s v="kg"/>
    <n v="13500"/>
    <n v="24030000"/>
  </r>
  <r>
    <s v="INV100225014"/>
    <x v="30"/>
    <s v="DO100225014"/>
    <s v="PO06022502"/>
    <s v="PT Mitra Plastik Nusantara"/>
    <s v="BP002"/>
    <x v="1"/>
    <n v="3200"/>
    <s v="kg"/>
    <n v="10000"/>
    <n v="32000000"/>
  </r>
  <r>
    <s v="INV100225015"/>
    <x v="30"/>
    <s v="DO100225015"/>
    <s v="PO07022501"/>
    <s v="PT Surya Polimer Indonesia"/>
    <s v="BP001"/>
    <x v="0"/>
    <n v="2980"/>
    <s v="kg"/>
    <n v="12500"/>
    <n v="37250000"/>
  </r>
  <r>
    <s v="INV110225016"/>
    <x v="31"/>
    <s v="DO110225016"/>
    <s v="PO07022502"/>
    <s v="PT Bintang Daur Ulang"/>
    <s v="BP004"/>
    <x v="3"/>
    <n v="2300"/>
    <s v="kg"/>
    <n v="9500"/>
    <n v="21850000"/>
  </r>
  <r>
    <s v="INV110225017"/>
    <x v="31"/>
    <s v="DO110225017"/>
    <s v="PO08022501"/>
    <s v="PT Global Recycle Industry"/>
    <s v="BP006"/>
    <x v="5"/>
    <n v="3100"/>
    <s v="kg"/>
    <n v="9000"/>
    <n v="27900000"/>
  </r>
  <r>
    <s v="INV120225018"/>
    <x v="32"/>
    <s v="DO120225018"/>
    <s v="PO08022502"/>
    <s v="PT Maju Jaya Plastik"/>
    <s v="BP010"/>
    <x v="9"/>
    <n v="1600"/>
    <s v="kg"/>
    <n v="10500"/>
    <n v="16800000"/>
  </r>
  <r>
    <s v="INV120225019"/>
    <x v="32"/>
    <s v="DO120225019"/>
    <s v="PO09022501"/>
    <s v="PT Indo Plastik Mandiri"/>
    <s v="BP005"/>
    <x v="4"/>
    <n v="2750"/>
    <s v="kg"/>
    <n v="11000"/>
    <n v="30250000"/>
  </r>
  <r>
    <s v="INV130225020"/>
    <x v="33"/>
    <s v="DO130225020"/>
    <s v="PO10022501"/>
    <s v="PT Surya Polimer Indonesia"/>
    <s v="BP011"/>
    <x v="10"/>
    <n v="3550"/>
    <s v="kg"/>
    <n v="14500"/>
    <n v="51475000"/>
  </r>
  <r>
    <s v="INV130225021"/>
    <x v="33"/>
    <s v="DO130225021"/>
    <s v="PO10022502"/>
    <s v="PT Cahaya Plastik Abadi"/>
    <s v="BP002"/>
    <x v="1"/>
    <n v="2900"/>
    <s v="kg"/>
    <n v="10000"/>
    <n v="29000000"/>
  </r>
  <r>
    <s v="INV140225022"/>
    <x v="34"/>
    <s v="DO140225022"/>
    <s v="PO11022501"/>
    <s v="PT Mitra Plastik Nusantara"/>
    <s v="BP009"/>
    <x v="8"/>
    <n v="2600"/>
    <s v="kg"/>
    <n v="12000"/>
    <n v="31200000"/>
  </r>
  <r>
    <s v="INV150225023"/>
    <x v="35"/>
    <s v="DO150225023"/>
    <s v="PO12022501"/>
    <s v="PT Global Recycle Industry"/>
    <s v="BP004"/>
    <x v="3"/>
    <n v="3450"/>
    <s v="kg"/>
    <n v="9500"/>
    <n v="32775000"/>
  </r>
  <r>
    <s v="INV160225024"/>
    <x v="36"/>
    <s v="DO160225024"/>
    <s v="PO13022501"/>
    <s v="PT Bintang Daur Ulang"/>
    <s v="BP007"/>
    <x v="6"/>
    <n v="1750"/>
    <s v="kg"/>
    <n v="11500"/>
    <n v="20125000"/>
  </r>
  <r>
    <s v="INV170225025"/>
    <x v="37"/>
    <s v="DO170225025"/>
    <s v="PO14022501"/>
    <s v="PT Indo Plastik Mandiri"/>
    <s v="BP008"/>
    <x v="7"/>
    <n v="3050"/>
    <s v="kg"/>
    <n v="8500"/>
    <n v="25925000"/>
  </r>
  <r>
    <s v="INV180225026"/>
    <x v="38"/>
    <s v="DO180225026"/>
    <s v="PO15022501"/>
    <s v="PT Maju Jaya Plastik"/>
    <s v="BP001"/>
    <x v="0"/>
    <n v="2850"/>
    <s v="kg"/>
    <n v="12500"/>
    <n v="35625000"/>
  </r>
  <r>
    <s v="INV030325001"/>
    <x v="39"/>
    <s v="DO030325001"/>
    <s v="PO01032501"/>
    <s v="PT Maju Jaya Plastik"/>
    <s v="BP001"/>
    <x v="0"/>
    <n v="2100"/>
    <s v="kg"/>
    <n v="12500"/>
    <n v="26250000"/>
  </r>
  <r>
    <s v="INV040325002"/>
    <x v="40"/>
    <s v="DO040325002"/>
    <s v="PO01032502"/>
    <s v="PT Surya Polimer Indonesia"/>
    <s v="BP002"/>
    <x v="1"/>
    <n v="3200"/>
    <s v="kg"/>
    <n v="10000"/>
    <n v="32000000"/>
  </r>
  <r>
    <s v="INV050325003"/>
    <x v="41"/>
    <s v="DO050325003"/>
    <s v="PO02032501"/>
    <s v="PT Mitra Plastik Nusantara"/>
    <s v="BP003"/>
    <x v="2"/>
    <n v="1850"/>
    <s v="kg"/>
    <n v="13500"/>
    <n v="24975000"/>
  </r>
  <r>
    <s v="INV060325004"/>
    <x v="42"/>
    <s v="DO060325004"/>
    <s v="PO03032501"/>
    <s v="PT Global Recycle Industry"/>
    <s v="BP004"/>
    <x v="3"/>
    <n v="2400"/>
    <s v="kg"/>
    <n v="9500"/>
    <n v="22800000"/>
  </r>
  <r>
    <s v="INV060325005"/>
    <x v="42"/>
    <s v="DO060325005"/>
    <s v="PO03032502"/>
    <s v="PT Indo Plastik Mandiri"/>
    <s v="BP005"/>
    <x v="4"/>
    <n v="2950"/>
    <s v="kg"/>
    <n v="11000"/>
    <n v="32450000"/>
  </r>
  <r>
    <s v="INV070325006"/>
    <x v="43"/>
    <s v="DO070325006"/>
    <s v="PO04032501"/>
    <s v="PT Cahaya Plastik Abadi"/>
    <s v="BP006"/>
    <x v="5"/>
    <n v="3100"/>
    <s v="kg"/>
    <n v="9000"/>
    <n v="27900000"/>
  </r>
  <r>
    <s v="INV080325007"/>
    <x v="44"/>
    <s v="DO080325007"/>
    <s v="PO05032501"/>
    <s v="PT Bintang Daur Ulang"/>
    <s v="BP007"/>
    <x v="6"/>
    <n v="1500"/>
    <s v="kg"/>
    <n v="11500"/>
    <n v="17250000"/>
  </r>
  <r>
    <s v="INV080325008"/>
    <x v="44"/>
    <s v="DO080325008"/>
    <s v="PO05032502"/>
    <s v="PT Maju Jaya Plastik"/>
    <s v="BP008"/>
    <x v="7"/>
    <n v="2700"/>
    <s v="kg"/>
    <n v="8500"/>
    <n v="22950000"/>
  </r>
  <r>
    <s v="INV090325009"/>
    <x v="45"/>
    <s v="DO090325009"/>
    <s v="PO06032501"/>
    <s v="PT Surya Polimer Indonesia"/>
    <s v="BP009"/>
    <x v="8"/>
    <n v="1980"/>
    <s v="kg"/>
    <n v="12000"/>
    <n v="23760000"/>
  </r>
  <r>
    <s v="INV100325010"/>
    <x v="46"/>
    <s v="DO100325010"/>
    <s v="PO07032501"/>
    <s v="PT Mitra Plastik Nusantara"/>
    <s v="BP011"/>
    <x v="10"/>
    <n v="3300"/>
    <s v="kg"/>
    <n v="14500"/>
    <n v="47850000"/>
  </r>
  <r>
    <s v="INV110325011"/>
    <x v="47"/>
    <s v="DO110325011"/>
    <s v="PO08032501"/>
    <s v="PT Global Recycle Industry"/>
    <s v="BP001"/>
    <x v="0"/>
    <n v="2105"/>
    <s v="kg"/>
    <n v="12500"/>
    <n v="26312500"/>
  </r>
  <r>
    <s v="INV120325012"/>
    <x v="48"/>
    <s v="DO120325012"/>
    <s v="PO09032501"/>
    <s v="PT Indo Plastik Mandiri"/>
    <s v="BP002"/>
    <x v="1"/>
    <n v="2870"/>
    <s v="kg"/>
    <n v="10000"/>
    <n v="28700000"/>
  </r>
  <r>
    <s v="INV130325013"/>
    <x v="49"/>
    <s v="DO130325013"/>
    <s v="PO10032501"/>
    <s v="PT Cahaya Plastik Abadi"/>
    <s v="BP003"/>
    <x v="2"/>
    <n v="2200"/>
    <s v="kg"/>
    <n v="13500"/>
    <n v="29700000"/>
  </r>
  <r>
    <s v="INV140325014"/>
    <x v="50"/>
    <s v="DO140325014"/>
    <s v="PO11032501"/>
    <s v="PT Bintang Daur Ulang"/>
    <s v="BP004"/>
    <x v="3"/>
    <n v="2500"/>
    <s v="kg"/>
    <n v="9500"/>
    <n v="23750000"/>
  </r>
  <r>
    <s v="INV150325015"/>
    <x v="51"/>
    <s v="DO150325015"/>
    <s v="PO12032501"/>
    <s v="PT Maju Jaya Plastik"/>
    <s v="BP005"/>
    <x v="4"/>
    <n v="3100"/>
    <s v="kg"/>
    <n v="11000"/>
    <n v="34100000"/>
  </r>
  <r>
    <s v="INV160325016"/>
    <x v="52"/>
    <s v="DO160325016"/>
    <s v="PO13032501"/>
    <s v="PT Surya Polimer Indonesia"/>
    <s v="BP006"/>
    <x v="5"/>
    <n v="2900"/>
    <s v="kg"/>
    <n v="9000"/>
    <n v="26100000"/>
  </r>
  <r>
    <s v="INV180325017"/>
    <x v="53"/>
    <s v="DO180325017"/>
    <s v="PO15032501"/>
    <s v="PT Mitra Plastik Nusantara"/>
    <s v="BP007"/>
    <x v="6"/>
    <n v="1700"/>
    <s v="kg"/>
    <n v="11500"/>
    <n v="19550000"/>
  </r>
  <r>
    <s v="INV190325018"/>
    <x v="54"/>
    <s v="DO190325018"/>
    <s v="PO16032501"/>
    <s v="PT Global Recycle Industry"/>
    <s v="BP008"/>
    <x v="7"/>
    <n v="2600"/>
    <s v="kg"/>
    <n v="8500"/>
    <n v="22100000"/>
  </r>
  <r>
    <s v="INV210325019"/>
    <x v="55"/>
    <s v="DO210325019"/>
    <s v="PO18032501"/>
    <s v="PT Indo Plastik Mandiri"/>
    <s v="BP009"/>
    <x v="8"/>
    <n v="2400"/>
    <s v="kg"/>
    <n v="12000"/>
    <n v="28800000"/>
  </r>
  <r>
    <s v="INV230325020"/>
    <x v="56"/>
    <s v="DO230325020"/>
    <s v="PO20032501"/>
    <s v="PT Cahaya Plastik Abadi"/>
    <s v="BP001"/>
    <x v="0"/>
    <n v="3100"/>
    <s v="kg"/>
    <n v="12500"/>
    <n v="38750000"/>
  </r>
  <r>
    <s v="INV240325021"/>
    <x v="57"/>
    <s v="DO240325021"/>
    <s v="PO21032501"/>
    <s v="PT Bintang Daur Ulang"/>
    <s v="BP003"/>
    <x v="2"/>
    <n v="2250"/>
    <s v="kg"/>
    <n v="13500"/>
    <n v="30375000"/>
  </r>
  <r>
    <s v="INV260325022"/>
    <x v="58"/>
    <s v="DO260325022"/>
    <s v="PO23032501"/>
    <s v="PT Maju Jaya Plastik"/>
    <s v="BP011"/>
    <x v="10"/>
    <n v="3450"/>
    <s v="kg"/>
    <n v="14500"/>
    <n v="50025000"/>
  </r>
  <r>
    <s v="INV280325023"/>
    <x v="59"/>
    <s v="DO280325023"/>
    <s v="PO25032501"/>
    <s v="PT Surya Polimer Indonesia"/>
    <s v="BP004"/>
    <x v="3"/>
    <n v="2800"/>
    <s v="kg"/>
    <n v="9500"/>
    <n v="26600000"/>
  </r>
  <r>
    <s v="INV300325024"/>
    <x v="60"/>
    <s v="DO300325024"/>
    <s v="PO27032501"/>
    <s v="PT Mitra Plastik Nusantara"/>
    <s v="BP002"/>
    <x v="1"/>
    <n v="2600"/>
    <s v="kg"/>
    <n v="10000"/>
    <n v="26000000"/>
  </r>
  <r>
    <s v="INV310325025"/>
    <x v="61"/>
    <s v="DO310325025"/>
    <s v="PO29032501"/>
    <s v="PT Global Recycle Industry"/>
    <s v="BP005"/>
    <x v="4"/>
    <n v="2950"/>
    <s v="kg"/>
    <n v="11000"/>
    <n v="32450000"/>
  </r>
  <r>
    <s v="INV030425001"/>
    <x v="62"/>
    <s v="DO030425001"/>
    <s v="PO01042501"/>
    <s v="PT Maju Jaya Plastik"/>
    <s v="BP001"/>
    <x v="0"/>
    <n v="1850"/>
    <s v="kg"/>
    <n v="12500"/>
    <n v="23125000"/>
  </r>
  <r>
    <s v="INV040425002"/>
    <x v="63"/>
    <s v="DO040425002"/>
    <s v="PO01042502"/>
    <s v="PT Surya Polimer Indonesia"/>
    <s v="BP002"/>
    <x v="1"/>
    <n v="2450"/>
    <s v="kg"/>
    <n v="10000"/>
    <n v="24500000"/>
  </r>
  <r>
    <s v="INV040425003"/>
    <x v="63"/>
    <s v="DO040425003"/>
    <s v="PO01042503"/>
    <s v="PT Global Recycle Industry"/>
    <s v="BP003"/>
    <x v="2"/>
    <n v="2100"/>
    <s v="kg"/>
    <n v="13500"/>
    <n v="28350000"/>
  </r>
  <r>
    <s v="INV060425004"/>
    <x v="64"/>
    <s v="DO060425004"/>
    <s v="PO03042501"/>
    <s v="PT Mitra Plastik Nusantara"/>
    <s v="BP004"/>
    <x v="3"/>
    <n v="1980"/>
    <s v="kg"/>
    <n v="9500"/>
    <n v="18810000"/>
  </r>
  <r>
    <s v="INV060425005"/>
    <x v="64"/>
    <s v="DO060425005"/>
    <s v="PO03042502"/>
    <s v="PT Indo Plastik Mandiri"/>
    <s v="BP005"/>
    <x v="4"/>
    <n v="2750"/>
    <s v="kg"/>
    <n v="11000"/>
    <n v="30250000"/>
  </r>
  <r>
    <s v="INV070425006"/>
    <x v="65"/>
    <s v="DO070425006"/>
    <s v="PO03042503"/>
    <s v="PT Cahaya Plastik Abadi"/>
    <s v="BP006"/>
    <x v="5"/>
    <n v="2330"/>
    <s v="kg"/>
    <n v="9000"/>
    <n v="20970000"/>
  </r>
  <r>
    <s v="INV080425007"/>
    <x v="66"/>
    <s v="DO080425007"/>
    <s v="PO05042501"/>
    <s v="PT Bintang Daur Ulang"/>
    <s v="BP007"/>
    <x v="6"/>
    <n v="1650"/>
    <s v="kg"/>
    <n v="11500"/>
    <n v="18975000"/>
  </r>
  <r>
    <s v="INV080425008"/>
    <x v="66"/>
    <s v="DO080425008"/>
    <s v="PO05042502"/>
    <s v="PT Maju Jaya Plastik"/>
    <s v="BP008"/>
    <x v="7"/>
    <n v="2890"/>
    <s v="kg"/>
    <n v="8500"/>
    <n v="24565000"/>
  </r>
  <r>
    <s v="INV090425009"/>
    <x v="67"/>
    <s v="DO090425009"/>
    <s v="PO05042503"/>
    <s v="PT Surya Polimer Indonesia"/>
    <s v="BP009"/>
    <x v="8"/>
    <n v="3150"/>
    <s v="kg"/>
    <n v="12000"/>
    <n v="37800000"/>
  </r>
  <r>
    <s v="INV100425010"/>
    <x v="68"/>
    <s v="DO100425010"/>
    <s v="PO08042501"/>
    <s v="PT Global Recycle Industry"/>
    <s v="BP001"/>
    <x v="0"/>
    <n v="1990"/>
    <s v="kg"/>
    <n v="12500"/>
    <n v="24875000"/>
  </r>
  <r>
    <s v="INV110425011"/>
    <x v="69"/>
    <s v="DO110425011"/>
    <s v="PO08042502"/>
    <s v="PT Indo Plastik Mandiri"/>
    <s v="BP002"/>
    <x v="1"/>
    <n v="2210"/>
    <s v="kg"/>
    <n v="10000"/>
    <n v="22100000"/>
  </r>
  <r>
    <s v="INV110425012"/>
    <x v="69"/>
    <s v="DO110425012"/>
    <s v="PO08042503"/>
    <s v="PT Mitra Plastik Nusantara"/>
    <s v="BP010"/>
    <x v="9"/>
    <n v="1870"/>
    <s v="kg"/>
    <n v="10500"/>
    <n v="19635000"/>
  </r>
  <r>
    <s v="INV150425013"/>
    <x v="70"/>
    <s v="DO150425013"/>
    <s v="PO12042501"/>
    <s v="PT Cahaya Plastik Abadi"/>
    <s v="BP011"/>
    <x v="10"/>
    <n v="3200"/>
    <s v="kg"/>
    <n v="14500"/>
    <n v="46400000"/>
  </r>
  <r>
    <s v="INV150425014"/>
    <x v="70"/>
    <s v="DO150425014"/>
    <s v="PO12042502"/>
    <s v="PT Bintang Daur Ulang"/>
    <s v="BP003"/>
    <x v="2"/>
    <n v="1780"/>
    <s v="kg"/>
    <n v="13500"/>
    <n v="24030000"/>
  </r>
  <r>
    <s v="INV160425015"/>
    <x v="71"/>
    <s v="DO160425015"/>
    <s v="PO12042503"/>
    <s v="PT Maju Jaya Plastik"/>
    <s v="BP005"/>
    <x v="4"/>
    <n v="2640"/>
    <s v="kg"/>
    <n v="11000"/>
    <n v="29040000"/>
  </r>
  <r>
    <s v="INV180425016"/>
    <x v="72"/>
    <s v="DO180425016"/>
    <s v="PO15042501"/>
    <s v="PT Surya Polimer Indonesia"/>
    <s v="BP008"/>
    <x v="7"/>
    <n v="3010"/>
    <s v="kg"/>
    <n v="8500"/>
    <n v="25585000"/>
  </r>
  <r>
    <s v="INV180425017"/>
    <x v="72"/>
    <s v="DO180425017"/>
    <s v="PO15042502"/>
    <s v="PT Global Recycle Industry"/>
    <s v="BP004"/>
    <x v="3"/>
    <n v="2190"/>
    <s v="kg"/>
    <n v="9500"/>
    <n v="20805000"/>
  </r>
  <r>
    <s v="INV190425018"/>
    <x v="73"/>
    <s v="DO190425018"/>
    <s v="PO15042503"/>
    <s v="PT Indo Plastik Mandiri"/>
    <s v="BP009"/>
    <x v="8"/>
    <n v="2440"/>
    <s v="kg"/>
    <n v="12000"/>
    <n v="29280000"/>
  </r>
  <r>
    <s v="INV230425019"/>
    <x v="74"/>
    <s v="DO230425019"/>
    <s v="PO20042501"/>
    <s v="PT Mitra Plastik Nusantara"/>
    <s v="BP006"/>
    <x v="5"/>
    <n v="2310"/>
    <s v="kg"/>
    <n v="9000"/>
    <n v="20790000"/>
  </r>
  <r>
    <s v="INV230425020"/>
    <x v="74"/>
    <s v="DO230425020"/>
    <s v="PO20042502"/>
    <s v="PT Cahaya Plastik Abadi"/>
    <s v="BP001"/>
    <x v="0"/>
    <n v="2950"/>
    <s v="kg"/>
    <n v="12500"/>
    <n v="36875000"/>
  </r>
  <r>
    <s v="INV240425021"/>
    <x v="75"/>
    <s v="DO240425021"/>
    <s v="PO20042503"/>
    <s v="PT Bintang Daur Ulang"/>
    <s v="BP002"/>
    <x v="1"/>
    <n v="2075"/>
    <s v="kg"/>
    <n v="10000"/>
    <n v="20750000"/>
  </r>
  <r>
    <s v="INV270425022"/>
    <x v="76"/>
    <s v="DO270425022"/>
    <s v="PO24042501"/>
    <s v="PT Global Recycle Industry"/>
    <s v="BP010"/>
    <x v="9"/>
    <n v="1880"/>
    <s v="kg"/>
    <n v="10500"/>
    <n v="19740000"/>
  </r>
  <r>
    <s v="INV270425023"/>
    <x v="76"/>
    <s v="DO270425023"/>
    <s v="PO24042502"/>
    <s v="PT Indo Plastik Mandiri"/>
    <s v="BP003"/>
    <x v="2"/>
    <n v="2540"/>
    <s v="kg"/>
    <n v="13500"/>
    <n v="34290000"/>
  </r>
  <r>
    <s v="INV280425024"/>
    <x v="77"/>
    <s v="DO280425024"/>
    <s v="PO24042503"/>
    <s v="PT Surya Polimer Indonesia"/>
    <s v="BP011"/>
    <x v="10"/>
    <n v="3360"/>
    <s v="kg"/>
    <n v="14500"/>
    <n v="48720000"/>
  </r>
  <r>
    <s v="INV300425025"/>
    <x v="78"/>
    <s v="DO300425025"/>
    <s v="PO28042501"/>
    <s v="PT Maju Jaya Plastik"/>
    <s v="BP004"/>
    <x v="3"/>
    <n v="2010"/>
    <s v="kg"/>
    <n v="9500"/>
    <n v="19095000"/>
  </r>
  <r>
    <s v="INV300425026"/>
    <x v="78"/>
    <s v="DO300425026"/>
    <s v="PO28042502"/>
    <s v="PT Mitra Plastik Nusantara"/>
    <s v="BP005"/>
    <x v="4"/>
    <n v="2675"/>
    <s v="kg"/>
    <n v="11000"/>
    <n v="29425000"/>
  </r>
  <r>
    <s v="INV010525001"/>
    <x v="79"/>
    <s v="DO010525001"/>
    <s v="PO28042503"/>
    <s v="PT Cahaya Plastik Abadi"/>
    <s v="BP008"/>
    <x v="7"/>
    <n v="2230"/>
    <s v="kg"/>
    <n v="8500"/>
    <n v="18955000"/>
  </r>
  <r>
    <s v="INV040525002"/>
    <x v="80"/>
    <s v="DO040525002"/>
    <s v="PO01052501"/>
    <s v="PT Maju Jaya Plastik"/>
    <s v="BP001"/>
    <x v="0"/>
    <n v="1820"/>
    <s v="kg"/>
    <n v="12500"/>
    <n v="22750000"/>
  </r>
  <r>
    <s v="INV040525003"/>
    <x v="80"/>
    <s v="DO040525003"/>
    <s v="PO01052502"/>
    <s v="PT Surya Polimer Indonesia"/>
    <s v="BP003"/>
    <x v="2"/>
    <n v="2560"/>
    <s v="kg"/>
    <n v="13500"/>
    <n v="34560000"/>
  </r>
  <r>
    <s v="INV050525004"/>
    <x v="81"/>
    <s v="DO050525004"/>
    <s v="PO02052501"/>
    <s v="PT Mitra Plastik Nusantara"/>
    <s v="BP002"/>
    <x v="1"/>
    <n v="3100"/>
    <s v="kg"/>
    <n v="10000"/>
    <n v="31000000"/>
  </r>
  <r>
    <s v="INV060525005"/>
    <x v="82"/>
    <s v="DO060525005"/>
    <s v="PO02052502"/>
    <s v="PT Global Recycle Industry"/>
    <s v="BP004"/>
    <x v="3"/>
    <n v="1450"/>
    <s v="kg"/>
    <n v="9500"/>
    <n v="13775000"/>
  </r>
  <r>
    <s v="INV070525006"/>
    <x v="83"/>
    <s v="DO070525006"/>
    <s v="PO03052501"/>
    <s v="PT Indo Plastik Mandiri"/>
    <s v="BP006"/>
    <x v="5"/>
    <n v="2280"/>
    <s v="kg"/>
    <n v="9000"/>
    <n v="20520000"/>
  </r>
  <r>
    <s v="INV070525007"/>
    <x v="83"/>
    <s v="DO070525007"/>
    <s v="PO03052502"/>
    <s v="PT Cahaya Plastik Abadi"/>
    <s v="BP005"/>
    <x v="4"/>
    <n v="2750"/>
    <s v="kg"/>
    <n v="11000"/>
    <n v="30250000"/>
  </r>
  <r>
    <s v="INV080525008"/>
    <x v="84"/>
    <s v="DO080525008"/>
    <s v="PO04052501"/>
    <s v="PT Bintang Daur Ulang"/>
    <s v="BP007"/>
    <x v="6"/>
    <n v="1640"/>
    <s v="kg"/>
    <n v="11500"/>
    <n v="18860000"/>
  </r>
  <r>
    <s v="INV090525009"/>
    <x v="85"/>
    <s v="DO090525009"/>
    <s v="PO05052501"/>
    <s v="PT Maju Jaya Plastik"/>
    <s v="BP008"/>
    <x v="7"/>
    <n v="3050"/>
    <s v="kg"/>
    <n v="8500"/>
    <n v="25925000"/>
  </r>
  <r>
    <s v="INV100525010"/>
    <x v="86"/>
    <s v="DO100525010"/>
    <s v="PO06052501"/>
    <s v="PT Surya Polimer Indonesia"/>
    <s v="BP011"/>
    <x v="10"/>
    <n v="1980"/>
    <s v="kg"/>
    <n v="14500"/>
    <n v="28710000"/>
  </r>
  <r>
    <s v="INV110525011"/>
    <x v="87"/>
    <s v="DO110525011"/>
    <s v="PO07052501"/>
    <s v="PT Mitra Plastik Nusantara"/>
    <s v="BP010"/>
    <x v="9"/>
    <n v="2120"/>
    <s v="kg"/>
    <n v="10500"/>
    <n v="22260000"/>
  </r>
  <r>
    <s v="INV120525012"/>
    <x v="88"/>
    <s v="DO120525012"/>
    <s v="PO08052501"/>
    <s v="PT Global Recycle Industry"/>
    <s v="BP002"/>
    <x v="1"/>
    <n v="3340"/>
    <s v="kg"/>
    <n v="10000"/>
    <n v="33400000"/>
  </r>
  <r>
    <s v="INV130525013"/>
    <x v="89"/>
    <s v="DO130525013"/>
    <s v="PO09052501"/>
    <s v="PT Indo Plastik Mandiri"/>
    <s v="BP001"/>
    <x v="0"/>
    <n v="2890"/>
    <s v="kg"/>
    <n v="12500"/>
    <n v="36125000"/>
  </r>
  <r>
    <s v="INV140525014"/>
    <x v="90"/>
    <s v="DO140525014"/>
    <s v="PO10052501"/>
    <s v="PT Cahaya Plastik Abadi"/>
    <s v="BP003"/>
    <x v="2"/>
    <n v="1570"/>
    <s v="kg"/>
    <n v="13500"/>
    <n v="21195000"/>
  </r>
  <r>
    <s v="INV150525015"/>
    <x v="91"/>
    <s v="DO150525015"/>
    <s v="PO11052501"/>
    <s v="PT Bintang Daur Ulang"/>
    <s v="BP004"/>
    <x v="3"/>
    <n v="2210"/>
    <s v="kg"/>
    <n v="9500"/>
    <n v="20995000"/>
  </r>
  <r>
    <s v="INV160525016"/>
    <x v="92"/>
    <s v="DO160525016"/>
    <s v="PO12052501"/>
    <s v="PT Maju Jaya Plastik"/>
    <s v="BP005"/>
    <x v="4"/>
    <n v="3400"/>
    <s v="kg"/>
    <n v="11000"/>
    <n v="37400000"/>
  </r>
  <r>
    <s v="INV170525017"/>
    <x v="93"/>
    <s v="DO170525017"/>
    <s v="PO13052501"/>
    <s v="PT Surya Polimer Indonesia"/>
    <s v="BP006"/>
    <x v="5"/>
    <n v="2755"/>
    <s v="kg"/>
    <n v="9000"/>
    <n v="24795000"/>
  </r>
  <r>
    <s v="INV180525018"/>
    <x v="94"/>
    <s v="DO180525018"/>
    <s v="PO14052501"/>
    <s v="PT Mitra Plastik Nusantara"/>
    <s v="BP011"/>
    <x v="10"/>
    <n v="1985"/>
    <s v="kg"/>
    <n v="14500"/>
    <n v="28782500"/>
  </r>
  <r>
    <s v="INV190525019"/>
    <x v="95"/>
    <s v="DO190525019"/>
    <s v="PO15052501"/>
    <s v="PT Global Recycle Industry"/>
    <s v="BP007"/>
    <x v="6"/>
    <n v="2440"/>
    <s v="kg"/>
    <n v="11500"/>
    <n v="28060000"/>
  </r>
  <r>
    <s v="INV200525020"/>
    <x v="96"/>
    <s v="DO200525020"/>
    <s v="PO16052501"/>
    <s v="PT Indo Plastik Mandiri"/>
    <s v="BP002"/>
    <x v="1"/>
    <n v="3110"/>
    <s v="kg"/>
    <n v="10000"/>
    <n v="31100000"/>
  </r>
  <r>
    <s v="INV210525021"/>
    <x v="97"/>
    <s v="DO210525021"/>
    <s v="PO17052501"/>
    <s v="PT Cahaya Plastik Abadi"/>
    <s v="BP001"/>
    <x v="0"/>
    <n v="2680"/>
    <s v="kg"/>
    <n v="12500"/>
    <n v="33500000"/>
  </r>
  <r>
    <s v="INV220525022"/>
    <x v="98"/>
    <s v="DO220525022"/>
    <s v="PO18052501"/>
    <s v="PT Bintang Daur Ulang"/>
    <s v="BP008"/>
    <x v="7"/>
    <n v="1870"/>
    <s v="kg"/>
    <n v="8500"/>
    <n v="15895000"/>
  </r>
  <r>
    <s v="INV230525023"/>
    <x v="99"/>
    <s v="DO230525023"/>
    <s v="PO19052501"/>
    <s v="PT Maju Jaya Plastik"/>
    <s v="BP003"/>
    <x v="2"/>
    <n v="2330"/>
    <s v="kg"/>
    <n v="13500"/>
    <n v="31455000"/>
  </r>
  <r>
    <s v="INV240525024"/>
    <x v="100"/>
    <s v="DO240525024"/>
    <s v="PO20052501"/>
    <s v="PT Surya Polimer Indonesia"/>
    <s v="BP010"/>
    <x v="9"/>
    <n v="1765"/>
    <s v="kg"/>
    <n v="10500"/>
    <n v="18532500"/>
  </r>
  <r>
    <s v="INV250525025"/>
    <x v="101"/>
    <s v="DO250525025"/>
    <s v="PO21052501"/>
    <s v="PT Mitra Plastik Nusantara"/>
    <s v="BP005"/>
    <x v="4"/>
    <n v="2950"/>
    <s v="kg"/>
    <n v="11000"/>
    <n v="32450000"/>
  </r>
  <r>
    <s v="INV260525026"/>
    <x v="102"/>
    <s v="DO260525026"/>
    <s v="PO22052501"/>
    <s v="PT Global Recycle Industry"/>
    <s v="BP006"/>
    <x v="5"/>
    <n v="3210"/>
    <s v="kg"/>
    <n v="9000"/>
    <n v="28890000"/>
  </r>
  <r>
    <s v="INV270525027"/>
    <x v="103"/>
    <s v="DO270525027"/>
    <s v="PO23052501"/>
    <s v="PT Indo Plastik Mandiri"/>
    <s v="BP011"/>
    <x v="10"/>
    <n v="2080"/>
    <s v="kg"/>
    <n v="14500"/>
    <n v="30160000"/>
  </r>
  <r>
    <s v="INV280525028"/>
    <x v="104"/>
    <s v="DO280525028"/>
    <s v="PO24052501"/>
    <s v="PT Cahaya Plastik Abadi"/>
    <s v="BP004"/>
    <x v="3"/>
    <n v="2650"/>
    <s v="kg"/>
    <n v="9500"/>
    <n v="25175000"/>
  </r>
  <r>
    <s v="INV030625001"/>
    <x v="105"/>
    <s v="DO030625001"/>
    <s v="PO01062501"/>
    <s v="PT Maju Jaya Plastik"/>
    <s v="BP001"/>
    <x v="0"/>
    <n v="2150"/>
    <s v="kg"/>
    <n v="12500"/>
    <n v="26875000"/>
  </r>
  <r>
    <s v="INV040625002"/>
    <x v="106"/>
    <s v="DO040625002"/>
    <s v="PO01062502"/>
    <s v="PT Surya Polimer Indonesia"/>
    <s v="BP003"/>
    <x v="2"/>
    <n v="1890"/>
    <s v="kg"/>
    <n v="13500"/>
    <n v="25515000"/>
  </r>
  <r>
    <s v="INV050625003"/>
    <x v="107"/>
    <s v="DO050625003"/>
    <s v="PO02062501"/>
    <s v="PT Mitra Plastik Nusantara"/>
    <s v="BP002"/>
    <x v="1"/>
    <n v="2750"/>
    <s v="kg"/>
    <n v="10000"/>
    <n v="27500000"/>
  </r>
  <r>
    <s v="INV060625004"/>
    <x v="108"/>
    <s v="DO060625004"/>
    <s v="PO03062501"/>
    <s v="PT Global Recycle Industry"/>
    <s v="BP004"/>
    <x v="3"/>
    <n v="3025"/>
    <s v="kg"/>
    <n v="9500"/>
    <n v="28737500"/>
  </r>
  <r>
    <s v="INV070625005"/>
    <x v="109"/>
    <s v="DO070625005"/>
    <s v="PO03062502"/>
    <s v="PT Indo Plastik Mandiri"/>
    <s v="BP005"/>
    <x v="4"/>
    <n v="1540"/>
    <s v="kg"/>
    <n v="11000"/>
    <n v="16940000"/>
  </r>
  <r>
    <s v="INV080625006"/>
    <x v="110"/>
    <s v="DO080625006"/>
    <s v="PO04062501"/>
    <s v="PT Cahaya Plastik Abadi"/>
    <s v="BP006"/>
    <x v="5"/>
    <n v="3320"/>
    <s v="kg"/>
    <n v="9000"/>
    <n v="29880000"/>
  </r>
  <r>
    <s v="INV090625007"/>
    <x v="111"/>
    <s v="DO090625007"/>
    <s v="PO05062501"/>
    <s v="PT Bintang Daur Ulang"/>
    <s v="BP007"/>
    <x v="6"/>
    <n v="1780"/>
    <s v="kg"/>
    <n v="11500"/>
    <n v="20470000"/>
  </r>
  <r>
    <s v="INV100625008"/>
    <x v="112"/>
    <s v="DO100625008"/>
    <s v="PO06062501"/>
    <s v="PT Maju Jaya Plastik"/>
    <s v="BP008"/>
    <x v="7"/>
    <n v="2980"/>
    <s v="kg"/>
    <n v="8500"/>
    <n v="25330000"/>
  </r>
  <r>
    <s v="INV110625009"/>
    <x v="113"/>
    <s v="DO110625009"/>
    <s v="PO07062501"/>
    <s v="PT Surya Polimer Indonesia"/>
    <s v="BP009"/>
    <x v="8"/>
    <n v="2410"/>
    <s v="kg"/>
    <n v="12000"/>
    <n v="28920000"/>
  </r>
  <r>
    <s v="INV120625010"/>
    <x v="114"/>
    <s v="DO120625010"/>
    <s v="PO08062501"/>
    <s v="PT Mitra Plastik Nusantara"/>
    <s v="BP011"/>
    <x v="10"/>
    <n v="3650"/>
    <s v="kg"/>
    <n v="14500"/>
    <n v="52925000"/>
  </r>
  <r>
    <s v="INV130625011"/>
    <x v="115"/>
    <s v="DO130625011"/>
    <s v="PO09062501"/>
    <s v="PT Global Recycle Industry"/>
    <s v="BP001"/>
    <x v="0"/>
    <n v="1875"/>
    <s v="kg"/>
    <n v="12500"/>
    <n v="23437500"/>
  </r>
  <r>
    <s v="INV140625012"/>
    <x v="116"/>
    <s v="DO140625012"/>
    <s v="PO10062501"/>
    <s v="PT Indo Plastik Mandiri"/>
    <s v="BP003"/>
    <x v="2"/>
    <n v="2100"/>
    <s v="kg"/>
    <n v="13500"/>
    <n v="28350000"/>
  </r>
  <r>
    <s v="INV150625013"/>
    <x v="117"/>
    <s v="DO150625013"/>
    <s v="PO11062501"/>
    <s v="PT Cahaya Plastik Abadi"/>
    <s v="BP004"/>
    <x v="3"/>
    <n v="2990"/>
    <s v="kg"/>
    <n v="9500"/>
    <n v="28405000"/>
  </r>
  <r>
    <s v="INV160625014"/>
    <x v="118"/>
    <s v="DO160625014"/>
    <s v="PO12062501"/>
    <s v="PT Bintang Daur Ulang"/>
    <s v="BP002"/>
    <x v="1"/>
    <n v="2550"/>
    <s v="kg"/>
    <n v="10000"/>
    <n v="25500000"/>
  </r>
  <r>
    <s v="INV170625015"/>
    <x v="119"/>
    <s v="DO170625015"/>
    <s v="PO13062501"/>
    <s v="PT Maju Jaya Plastik"/>
    <s v="BP006"/>
    <x v="5"/>
    <n v="3210"/>
    <s v="kg"/>
    <n v="9000"/>
    <n v="28890000"/>
  </r>
  <r>
    <s v="INV180625016"/>
    <x v="120"/>
    <s v="DO180625016"/>
    <s v="PO14062501"/>
    <s v="PT Surya Polimer Indonesia"/>
    <s v="BP005"/>
    <x v="4"/>
    <n v="1980"/>
    <s v="kg"/>
    <n v="11000"/>
    <n v="21780000"/>
  </r>
  <r>
    <s v="INV190625017"/>
    <x v="121"/>
    <s v="DO190625017"/>
    <s v="PO15062501"/>
    <s v="PT Mitra Plastik Nusantara"/>
    <s v="BP007"/>
    <x v="6"/>
    <n v="1420"/>
    <s v="kg"/>
    <n v="11500"/>
    <n v="16330000"/>
  </r>
  <r>
    <s v="INV200625018"/>
    <x v="122"/>
    <s v="DO200625018"/>
    <s v="PO16062501"/>
    <s v="PT Global Recycle Industry"/>
    <s v="BP008"/>
    <x v="7"/>
    <n v="2890"/>
    <s v="kg"/>
    <n v="8500"/>
    <n v="24565000"/>
  </r>
  <r>
    <s v="INV210625019"/>
    <x v="123"/>
    <s v="DO210625019"/>
    <s v="PO17062501"/>
    <s v="PT Indo Plastik Mandiri"/>
    <s v="BP009"/>
    <x v="8"/>
    <n v="2470"/>
    <s v="kg"/>
    <n v="12000"/>
    <n v="29640000"/>
  </r>
  <r>
    <s v="INV220625020"/>
    <x v="124"/>
    <s v="DO220625020"/>
    <s v="PO18062501"/>
    <s v="PT Cahaya Plastik Abadi"/>
    <s v="BP011"/>
    <x v="10"/>
    <n v="3750"/>
    <s v="kg"/>
    <n v="14500"/>
    <n v="54375000"/>
  </r>
  <r>
    <s v="INV230625021"/>
    <x v="125"/>
    <s v="DO230625021"/>
    <s v="PO19062501"/>
    <s v="PT Bintang Daur Ulang"/>
    <s v="BP001"/>
    <x v="0"/>
    <n v="2230"/>
    <s v="kg"/>
    <n v="12500"/>
    <n v="27875000"/>
  </r>
  <r>
    <s v="INV240625022"/>
    <x v="126"/>
    <s v="DO240625022"/>
    <s v="PO20062501"/>
    <s v="PT Maju Jaya Plastik"/>
    <s v="BP003"/>
    <x v="2"/>
    <n v="2680"/>
    <s v="kg"/>
    <n v="13500"/>
    <n v="36180000"/>
  </r>
  <r>
    <s v="INV250625023"/>
    <x v="127"/>
    <s v="DO250625023"/>
    <s v="PO21062501"/>
    <s v="PT Surya Polimer Indonesia"/>
    <s v="BP004"/>
    <x v="3"/>
    <n v="3140"/>
    <s v="kg"/>
    <n v="9500"/>
    <n v="29830000"/>
  </r>
  <r>
    <s v="INV260625024"/>
    <x v="128"/>
    <s v="DO260625024"/>
    <s v="PO22062501"/>
    <s v="PT Mitra Plastik Nusantara"/>
    <s v="BP006"/>
    <x v="5"/>
    <n v="2980"/>
    <s v="kg"/>
    <n v="9000"/>
    <n v="26820000"/>
  </r>
  <r>
    <s v="INV270625025"/>
    <x v="129"/>
    <s v="DO270625025"/>
    <s v="PO23062501"/>
    <s v="PT Global Recycle Industry"/>
    <s v="BP005"/>
    <x v="4"/>
    <n v="1850"/>
    <s v="kg"/>
    <n v="11000"/>
    <n v="20350000"/>
  </r>
  <r>
    <s v="INV280625026"/>
    <x v="130"/>
    <s v="DO280625026"/>
    <s v="PO24062501"/>
    <s v="PT Indo Plastik Mandiri"/>
    <s v="BP007"/>
    <x v="6"/>
    <n v="2360"/>
    <s v="kg"/>
    <n v="11500"/>
    <n v="27140000"/>
  </r>
  <r>
    <s v="INV030725001"/>
    <x v="131"/>
    <s v="DO030725001"/>
    <s v="PO01072501"/>
    <s v="PT Maju Jaya Plastik"/>
    <s v="BP001"/>
    <x v="0"/>
    <n v="2450"/>
    <s v="kg"/>
    <n v="12500"/>
    <n v="30625000"/>
  </r>
  <r>
    <s v="INV040725002"/>
    <x v="132"/>
    <s v="DO040725002"/>
    <s v="PO01072502"/>
    <s v="PT Surya Polimer Indonesia"/>
    <s v="BP002"/>
    <x v="1"/>
    <n v="3100"/>
    <s v="kg"/>
    <n v="10000"/>
    <n v="31000000"/>
  </r>
  <r>
    <s v="INV040725003"/>
    <x v="132"/>
    <s v="DO040725003"/>
    <s v="PO01072503"/>
    <s v="PT Mitra Plastik Nusantara"/>
    <s v="BP003"/>
    <x v="2"/>
    <n v="1980"/>
    <s v="kg"/>
    <n v="13500"/>
    <n v="26730000"/>
  </r>
  <r>
    <s v="INV050725004"/>
    <x v="133"/>
    <s v="DO050725004"/>
    <s v="PO02072501"/>
    <s v="PT Global Recycle Industry"/>
    <s v="BP004"/>
    <x v="3"/>
    <n v="2875"/>
    <s v="kg"/>
    <n v="9500"/>
    <n v="27312500"/>
  </r>
  <r>
    <s v="INV050725005"/>
    <x v="133"/>
    <s v="DO050725005"/>
    <s v="PO02072502"/>
    <s v="PT Indo Plastik Mandiri"/>
    <s v="BP005"/>
    <x v="4"/>
    <n v="1650"/>
    <s v="kg"/>
    <n v="11000"/>
    <n v="18150000"/>
  </r>
  <r>
    <s v="INV060725006"/>
    <x v="134"/>
    <s v="DO060725006"/>
    <s v="PO02072503"/>
    <s v="PT Cahaya Plastik Abadi"/>
    <s v="BP006"/>
    <x v="5"/>
    <n v="3420"/>
    <s v="kg"/>
    <n v="9000"/>
    <n v="30780000"/>
  </r>
  <r>
    <s v="INV060725007"/>
    <x v="134"/>
    <s v="DO060725007"/>
    <s v="PO03072501"/>
    <s v="PT Bintang Daur Ulang"/>
    <s v="BP007"/>
    <x v="6"/>
    <n v="2210"/>
    <s v="kg"/>
    <n v="11500"/>
    <n v="25415000"/>
  </r>
  <r>
    <s v="INV070725008"/>
    <x v="135"/>
    <s v="DO070725008"/>
    <s v="PO03072502"/>
    <s v="PT Maju Jaya Plastik"/>
    <s v="BP008"/>
    <x v="7"/>
    <n v="3150"/>
    <s v="kg"/>
    <n v="8500"/>
    <n v="26775000"/>
  </r>
  <r>
    <s v="INV070725009"/>
    <x v="135"/>
    <s v="DO070725009"/>
    <s v="PO04072501"/>
    <s v="PT Surya Polimer Indonesia"/>
    <s v="BP001"/>
    <x v="0"/>
    <n v="1890"/>
    <s v="kg"/>
    <n v="12500"/>
    <n v="23625000"/>
  </r>
  <r>
    <s v="INV080725010"/>
    <x v="136"/>
    <s v="DO080725010"/>
    <s v="PO04072502"/>
    <s v="PT Mitra Plastik Nusantara"/>
    <s v="BP003"/>
    <x v="2"/>
    <n v="2765"/>
    <s v="kg"/>
    <n v="13500"/>
    <n v="37327500"/>
  </r>
  <r>
    <s v="INV080725011"/>
    <x v="136"/>
    <s v="DO080725011"/>
    <s v="PO04072503"/>
    <s v="PT Global Recycle Industry"/>
    <s v="BP010"/>
    <x v="9"/>
    <n v="2050"/>
    <s v="kg"/>
    <n v="10500"/>
    <n v="21525000"/>
  </r>
  <r>
    <s v="INV080725012"/>
    <x v="136"/>
    <s v="DO080725012"/>
    <s v="PO05072501"/>
    <s v="PT Indo Plastik Mandiri"/>
    <s v="BP009"/>
    <x v="8"/>
    <n v="2950"/>
    <s v="kg"/>
    <n v="12000"/>
    <n v="35400000"/>
  </r>
  <r>
    <s v="INV090725013"/>
    <x v="137"/>
    <s v="DO090725013"/>
    <s v="PO05072502"/>
    <s v="PT Cahaya Plastik Abadi"/>
    <s v="BP002"/>
    <x v="1"/>
    <n v="3120"/>
    <s v="kg"/>
    <n v="10000"/>
    <n v="31200000"/>
  </r>
  <r>
    <s v="INV090725014"/>
    <x v="137"/>
    <s v="DO090725014"/>
    <s v="PO06072501"/>
    <s v="PT Bintang Daur Ulang"/>
    <s v="BP011"/>
    <x v="10"/>
    <n v="2550"/>
    <s v="kg"/>
    <n v="14500"/>
    <n v="36975000"/>
  </r>
  <r>
    <s v="INV100725015"/>
    <x v="138"/>
    <s v="DO100725015"/>
    <s v="PO06072502"/>
    <s v="PT Maju Jaya Plastik"/>
    <s v="BP004"/>
    <x v="3"/>
    <n v="3400"/>
    <s v="kg"/>
    <n v="9500"/>
    <n v="32300000"/>
  </r>
  <r>
    <s v="INV100725016"/>
    <x v="138"/>
    <s v="DO100725016"/>
    <s v="PO07072501"/>
    <s v="PT Surya Polimer Indonesia"/>
    <s v="BP001"/>
    <x v="0"/>
    <n v="2750"/>
    <s v="kg"/>
    <n v="12500"/>
    <n v="34375000"/>
  </r>
  <r>
    <s v="INV110725017"/>
    <x v="139"/>
    <s v="DO110725017"/>
    <s v="PO08072501"/>
    <s v="PT Mitra Plastik Nusantara"/>
    <s v="BP006"/>
    <x v="5"/>
    <n v="3105"/>
    <s v="kg"/>
    <n v="9000"/>
    <n v="27945000"/>
  </r>
  <r>
    <s v="INV120725018"/>
    <x v="140"/>
    <s v="DO120725018"/>
    <s v="PO09072501"/>
    <s v="PT Global Recycle Industry"/>
    <s v="BP003"/>
    <x v="2"/>
    <n v="2250"/>
    <s v="kg"/>
    <n v="13500"/>
    <n v="30375000"/>
  </r>
  <r>
    <s v="INV130725019"/>
    <x v="141"/>
    <s v="DO130725019"/>
    <s v="PO10072501"/>
    <s v="PT Indo Plastik Mandiri"/>
    <s v="BP005"/>
    <x v="4"/>
    <n v="3325"/>
    <s v="kg"/>
    <n v="11000"/>
    <n v="36575000"/>
  </r>
  <r>
    <s v="INV140725020"/>
    <x v="142"/>
    <s v="DO140725020"/>
    <s v="PO11072501"/>
    <s v="PT Cahaya Plastik Abadi"/>
    <s v="BP008"/>
    <x v="7"/>
    <n v="2870"/>
    <s v="kg"/>
    <n v="8500"/>
    <n v="24395000"/>
  </r>
  <r>
    <s v="INV150720021"/>
    <x v="143"/>
    <s v="DO150725021"/>
    <s v="PO12072501"/>
    <s v="PT Bintang Daur Ulang"/>
    <s v="BP002"/>
    <x v="1"/>
    <n v="3200"/>
    <s v="kg"/>
    <n v="10000"/>
    <n v="32000000"/>
  </r>
  <r>
    <s v="INV160720022"/>
    <x v="144"/>
    <s v="DO160725022"/>
    <s v="PO13072501"/>
    <s v="PT Maju Jaya Plastik"/>
    <s v="BP011"/>
    <x v="10"/>
    <n v="2650"/>
    <s v="kg"/>
    <n v="14500"/>
    <n v="38425000"/>
  </r>
  <r>
    <s v="INV170720023"/>
    <x v="145"/>
    <s v="DO170725023"/>
    <s v="PO14072501"/>
    <s v="PT Surya Polimer Indonesia"/>
    <s v="BP010"/>
    <x v="9"/>
    <n v="2100"/>
    <s v="kg"/>
    <n v="10500"/>
    <n v="22050000"/>
  </r>
  <r>
    <s v="INV180725024"/>
    <x v="146"/>
    <s v="DO180725024"/>
    <s v="PO15072501"/>
    <s v="PT Mitra Plastik Nusantara"/>
    <s v="BP003"/>
    <x v="2"/>
    <n v="2980"/>
    <s v="kg"/>
    <n v="13500"/>
    <n v="40230000"/>
  </r>
  <r>
    <s v="INV190725025"/>
    <x v="147"/>
    <s v="DO190725025"/>
    <s v="PO16072501"/>
    <s v="PT Global Recycle Industry"/>
    <s v="BP006"/>
    <x v="5"/>
    <n v="3450"/>
    <s v="kg"/>
    <n v="9000"/>
    <n v="31050000"/>
  </r>
  <r>
    <s v="INV200725026"/>
    <x v="148"/>
    <s v="DO200725026"/>
    <s v="PO17072501"/>
    <s v="PT Indo Plastik Mandiri"/>
    <s v="BP005"/>
    <x v="4"/>
    <n v="3100"/>
    <s v="kg"/>
    <n v="11000"/>
    <n v="34100000"/>
  </r>
  <r>
    <s v="INV030825001"/>
    <x v="149"/>
    <s v="DO030825001"/>
    <s v="PO01082501"/>
    <s v="PT Maju Jaya Plastik"/>
    <s v="BP001"/>
    <x v="0"/>
    <n v="2500"/>
    <s v="kg"/>
    <n v="12500"/>
    <n v="31250000"/>
  </r>
  <r>
    <s v="INV040825002"/>
    <x v="150"/>
    <s v="DO040825002"/>
    <s v="PO02082501"/>
    <s v="PT Surya Polimer Indonesia"/>
    <s v="BP002"/>
    <x v="1"/>
    <n v="3100"/>
    <s v="kg"/>
    <n v="10000"/>
    <n v="31000000"/>
  </r>
  <r>
    <s v="INV050825003"/>
    <x v="151"/>
    <s v="DO050825003"/>
    <s v="PO03082501"/>
    <s v="PT Mitra Plastik Nusantara"/>
    <s v="BP003"/>
    <x v="2"/>
    <n v="2200"/>
    <s v="kg"/>
    <n v="13500"/>
    <n v="29700000"/>
  </r>
  <r>
    <s v="INV060825004"/>
    <x v="152"/>
    <s v="DO060825004"/>
    <s v="PO04082501"/>
    <s v="PT Global Recycle Industry"/>
    <s v="BP004"/>
    <x v="3"/>
    <n v="1850"/>
    <s v="kg"/>
    <n v="9500"/>
    <n v="17575000"/>
  </r>
  <r>
    <s v="INV070825005"/>
    <x v="153"/>
    <s v="DO070825005"/>
    <s v="PO05082501"/>
    <s v="PT Indo Plastik Mandiri"/>
    <s v="BP005"/>
    <x v="4"/>
    <n v="2950"/>
    <s v="kg"/>
    <n v="11000"/>
    <n v="32450000"/>
  </r>
  <r>
    <s v="INV080825006"/>
    <x v="154"/>
    <s v="DO080825006"/>
    <s v="PO06082501"/>
    <s v="PT Cahaya Plastik Abadi"/>
    <s v="BP006"/>
    <x v="5"/>
    <n v="2700"/>
    <s v="kg"/>
    <n v="9000"/>
    <n v="24300000"/>
  </r>
  <r>
    <s v="INV090825007"/>
    <x v="155"/>
    <s v="DO090825007"/>
    <s v="PO07082501"/>
    <s v="PT Bintang Daur Ulang"/>
    <s v="BP007"/>
    <x v="6"/>
    <n v="1650"/>
    <s v="kg"/>
    <n v="11500"/>
    <n v="18975000"/>
  </r>
  <r>
    <s v="INV100825008"/>
    <x v="156"/>
    <s v="DO100825008"/>
    <s v="PO08082501"/>
    <s v="PT Maju Jaya Plastik"/>
    <s v="BP008"/>
    <x v="7"/>
    <n v="2100"/>
    <s v="kg"/>
    <n v="8500"/>
    <n v="17850000"/>
  </r>
  <r>
    <s v="INV110825009"/>
    <x v="157"/>
    <s v="DO110825009"/>
    <s v="PO09082501"/>
    <s v="PT Surya Polimer Indonesia"/>
    <s v="BP009"/>
    <x v="8"/>
    <n v="3250"/>
    <s v="kg"/>
    <n v="12000"/>
    <n v="39000000"/>
  </r>
  <r>
    <s v="INV120825010"/>
    <x v="158"/>
    <s v="DO120825010"/>
    <s v="PO10082501"/>
    <s v="PT Mitra Plastik Nusantara"/>
    <s v="BP010"/>
    <x v="9"/>
    <n v="2800"/>
    <s v="kg"/>
    <n v="10500"/>
    <n v="29400000"/>
  </r>
  <r>
    <s v="INV130825011"/>
    <x v="159"/>
    <s v="DO130825011"/>
    <s v="PO11082501"/>
    <s v="PT Global Recycle Industry"/>
    <s v="BP011"/>
    <x v="10"/>
    <n v="3400"/>
    <s v="kg"/>
    <n v="14500"/>
    <n v="49300000"/>
  </r>
  <r>
    <s v="INV140825012"/>
    <x v="160"/>
    <s v="DO140825012"/>
    <s v="PO12082501"/>
    <s v="PT Indo Plastik Mandiri"/>
    <s v="BP001"/>
    <x v="0"/>
    <n v="2600"/>
    <s v="kg"/>
    <n v="12500"/>
    <n v="32500000"/>
  </r>
  <r>
    <s v="INV150825013"/>
    <x v="161"/>
    <s v="DO150825013"/>
    <s v="PO13082501"/>
    <s v="PT Cahaya Plastik Abadi"/>
    <s v="BP003"/>
    <x v="2"/>
    <n v="2300"/>
    <s v="kg"/>
    <n v="13500"/>
    <n v="31050000"/>
  </r>
  <r>
    <s v="INV160825014"/>
    <x v="162"/>
    <s v="DO160825014"/>
    <s v="PO14082501"/>
    <s v="PT Bintang Daur Ulang"/>
    <s v="BP005"/>
    <x v="4"/>
    <n v="2900"/>
    <s v="kg"/>
    <n v="11000"/>
    <n v="31900000"/>
  </r>
  <r>
    <s v="INV170825015"/>
    <x v="163"/>
    <s v="DO170825015"/>
    <s v="PO15082501"/>
    <s v="PT Maju Jaya Plastik"/>
    <s v="BP002"/>
    <x v="1"/>
    <n v="3100"/>
    <s v="kg"/>
    <n v="10000"/>
    <n v="31000000"/>
  </r>
  <r>
    <s v="INV180825016"/>
    <x v="164"/>
    <s v="DO180825016"/>
    <s v="PO16082501"/>
    <s v="PT Surya Polimer Indonesia"/>
    <s v="BP006"/>
    <x v="5"/>
    <n v="2750"/>
    <s v="kg"/>
    <n v="9000"/>
    <n v="24750000"/>
  </r>
  <r>
    <s v="INV190825017"/>
    <x v="165"/>
    <s v="DO190825017"/>
    <s v="PO17082501"/>
    <s v="PT Mitra Plastik Nusantara"/>
    <s v="BP008"/>
    <x v="7"/>
    <n v="2400"/>
    <s v="kg"/>
    <n v="8500"/>
    <n v="20400000"/>
  </r>
  <r>
    <s v="INV200825018"/>
    <x v="166"/>
    <s v="DO200825018"/>
    <s v="PO18082501"/>
    <s v="PT Global Recycle Industry"/>
    <s v="BP004"/>
    <x v="3"/>
    <n v="2000"/>
    <s v="kg"/>
    <n v="9500"/>
    <n v="19000000"/>
  </r>
  <r>
    <s v="INV210825019"/>
    <x v="167"/>
    <s v="DO210825019"/>
    <s v="PO19082501"/>
    <s v="PT Indo Plastik Mandiri"/>
    <s v="BP007"/>
    <x v="6"/>
    <n v="1750"/>
    <s v="kg"/>
    <n v="11500"/>
    <n v="20125000"/>
  </r>
  <r>
    <s v="INV220825020"/>
    <x v="168"/>
    <s v="DO220825020"/>
    <s v="PO20082501"/>
    <s v="PT Cahaya Plastik Abadi"/>
    <s v="BP011"/>
    <x v="10"/>
    <n v="3550"/>
    <s v="kg"/>
    <n v="14500"/>
    <n v="51475000"/>
  </r>
  <r>
    <s v="INV230825021"/>
    <x v="169"/>
    <s v="DO230825021"/>
    <s v="PO21082501"/>
    <s v="PT Bintang Daur Ulang"/>
    <s v="BP009"/>
    <x v="8"/>
    <n v="2650"/>
    <s v="kg"/>
    <n v="12000"/>
    <n v="31800000"/>
  </r>
  <r>
    <s v="INV240825022"/>
    <x v="170"/>
    <s v="DO240825022"/>
    <s v="PO22082501"/>
    <s v="PT Maju Jaya Plastik"/>
    <s v="BP001"/>
    <x v="0"/>
    <n v="2850"/>
    <s v="kg"/>
    <n v="12500"/>
    <n v="35625000"/>
  </r>
  <r>
    <s v="INV250825023"/>
    <x v="171"/>
    <s v="DO250825023"/>
    <s v="PO23082501"/>
    <s v="PT Surya Polimer Indonesia"/>
    <s v="BP010"/>
    <x v="9"/>
    <n v="2950"/>
    <s v="kg"/>
    <n v="10500"/>
    <n v="30975000"/>
  </r>
  <r>
    <s v="INV260825024"/>
    <x v="172"/>
    <s v="DO260825024"/>
    <s v="PO24082501"/>
    <s v="PT Mitra Plastik Nusantara"/>
    <s v="BP003"/>
    <x v="2"/>
    <n v="2150"/>
    <s v="kg"/>
    <n v="13500"/>
    <n v="29025000"/>
  </r>
  <r>
    <s v="INV270825025"/>
    <x v="173"/>
    <s v="DO270825025"/>
    <s v="PO25082501"/>
    <s v="PT Global Recycle Industry"/>
    <s v="BP006"/>
    <x v="5"/>
    <n v="3050"/>
    <s v="kg"/>
    <n v="9000"/>
    <n v="27450000"/>
  </r>
  <r>
    <s v="INV030925001"/>
    <x v="174"/>
    <s v="DO030925001"/>
    <s v="PO01092501"/>
    <s v="PT Maju Jaya Plastik"/>
    <s v="BP001"/>
    <x v="0"/>
    <n v="2150"/>
    <s v="kg"/>
    <n v="12500"/>
    <n v="26875000"/>
  </r>
  <r>
    <s v="INV040925002"/>
    <x v="175"/>
    <s v="DO040925002"/>
    <s v="PO01092502"/>
    <s v="PT Surya Polimer Indonesia"/>
    <s v="BP003"/>
    <x v="2"/>
    <n v="3200"/>
    <s v="kg"/>
    <n v="13500"/>
    <n v="43200000"/>
  </r>
  <r>
    <s v="INV050925003"/>
    <x v="176"/>
    <s v="DO050925003"/>
    <s v="PO02092501"/>
    <s v="PT Mitra Plastik Nusantara"/>
    <s v="BP002"/>
    <x v="1"/>
    <n v="1850"/>
    <s v="kg"/>
    <n v="10000"/>
    <n v="18500000"/>
  </r>
  <r>
    <s v="INV060925004"/>
    <x v="177"/>
    <s v="DO060925004"/>
    <s v="PO03092501"/>
    <s v="PT Global Recycle Industry"/>
    <s v="BP004"/>
    <x v="3"/>
    <n v="2600"/>
    <s v="kg"/>
    <n v="9500"/>
    <n v="24700000"/>
  </r>
  <r>
    <s v="INV070925005"/>
    <x v="178"/>
    <s v="DO070925005"/>
    <s v="PO03092502"/>
    <s v="PT Cahaya Plastik Abadi"/>
    <s v="BP006"/>
    <x v="5"/>
    <n v="2980"/>
    <s v="kg"/>
    <n v="9000"/>
    <n v="26820000"/>
  </r>
  <r>
    <s v="INV070925006"/>
    <x v="178"/>
    <s v="DO070925006"/>
    <s v="PO04092501"/>
    <s v="PT Indo Plastik Mandiri"/>
    <s v="BP005"/>
    <x v="4"/>
    <n v="3350"/>
    <s v="kg"/>
    <n v="11000"/>
    <n v="36850000"/>
  </r>
  <r>
    <s v="INV080925007"/>
    <x v="179"/>
    <s v="DO080925007"/>
    <s v="PO05092501"/>
    <s v="PT Bintang Daur Ulang"/>
    <s v="BP007"/>
    <x v="6"/>
    <n v="1740"/>
    <s v="kg"/>
    <n v="11500"/>
    <n v="20010000"/>
  </r>
  <r>
    <s v="INV090925008"/>
    <x v="180"/>
    <s v="DO090925008"/>
    <s v="PO06092501"/>
    <s v="PT Maju Jaya Plastik"/>
    <s v="BP001"/>
    <x v="0"/>
    <n v="2860"/>
    <s v="kg"/>
    <n v="12500"/>
    <n v="35750000"/>
  </r>
  <r>
    <s v="INV100925009"/>
    <x v="181"/>
    <s v="DO100925009"/>
    <s v="PO07092501"/>
    <s v="PT Surya Polimer Indonesia"/>
    <s v="BP008"/>
    <x v="7"/>
    <n v="3100"/>
    <s v="kg"/>
    <n v="8500"/>
    <n v="26350000"/>
  </r>
  <r>
    <s v="INV110925010"/>
    <x v="182"/>
    <s v="DO110925010"/>
    <s v="PO08092501"/>
    <s v="PT Mitra Plastik Nusantara"/>
    <s v="BP003"/>
    <x v="2"/>
    <n v="2450"/>
    <s v="kg"/>
    <n v="13500"/>
    <n v="33075000"/>
  </r>
  <r>
    <s v="INV120925011"/>
    <x v="183"/>
    <s v="DO120925011"/>
    <s v="PO09092501"/>
    <s v="PT Global Recycle Industry"/>
    <s v="BP009"/>
    <x v="8"/>
    <n v="2100"/>
    <s v="kg"/>
    <n v="12000"/>
    <n v="25200000"/>
  </r>
  <r>
    <s v="INV130925012"/>
    <x v="184"/>
    <s v="DO130925012"/>
    <s v="PO10092501"/>
    <s v="PT Cahaya Plastik Abadi"/>
    <s v="BP006"/>
    <x v="5"/>
    <n v="3750"/>
    <s v="kg"/>
    <n v="9000"/>
    <n v="33750000"/>
  </r>
  <r>
    <s v="INV130925013"/>
    <x v="184"/>
    <s v="DO130925013"/>
    <s v="PO10092502"/>
    <s v="PT Indo Plastik Mandiri"/>
    <s v="BP004"/>
    <x v="3"/>
    <n v="2980"/>
    <s v="kg"/>
    <n v="9500"/>
    <n v="28310000"/>
  </r>
  <r>
    <s v="INV140925014"/>
    <x v="185"/>
    <s v="DO140925014"/>
    <s v="PO11092501"/>
    <s v="PT Bintang Daur Ulang"/>
    <s v="BP010"/>
    <x v="9"/>
    <n v="1540"/>
    <s v="kg"/>
    <n v="10500"/>
    <n v="16170000"/>
  </r>
  <r>
    <s v="INV150925015"/>
    <x v="186"/>
    <s v="DO150925015"/>
    <s v="PO12092501"/>
    <s v="PT Maju Jaya Plastik"/>
    <s v="BP011"/>
    <x v="10"/>
    <n v="4050"/>
    <s v="kg"/>
    <n v="14500"/>
    <n v="58725000"/>
  </r>
  <r>
    <s v="INV160925016"/>
    <x v="187"/>
    <s v="DO160925016"/>
    <s v="PO13092501"/>
    <s v="PT Surya Polimer Indonesia"/>
    <s v="BP002"/>
    <x v="1"/>
    <n v="2600"/>
    <s v="kg"/>
    <n v="10000"/>
    <n v="26000000"/>
  </r>
  <r>
    <s v="INV170925017"/>
    <x v="188"/>
    <s v="DO170925017"/>
    <s v="PO14092501"/>
    <s v="PT Mitra Plastik Nusantara"/>
    <s v="BP005"/>
    <x v="4"/>
    <n v="2300"/>
    <s v="kg"/>
    <n v="11000"/>
    <n v="25300000"/>
  </r>
  <r>
    <s v="INV180925018"/>
    <x v="189"/>
    <s v="DO180925018"/>
    <s v="PO15092501"/>
    <s v="PT Global Recycle Industry"/>
    <s v="BP001"/>
    <x v="0"/>
    <n v="3420"/>
    <s v="kg"/>
    <n v="12500"/>
    <n v="42750000"/>
  </r>
  <r>
    <s v="INV190925019"/>
    <x v="190"/>
    <s v="DO190925019"/>
    <s v="PO16092501"/>
    <s v="PT Cahaya Plastik Abadi"/>
    <s v="BP006"/>
    <x v="5"/>
    <n v="2985"/>
    <s v="kg"/>
    <n v="9000"/>
    <n v="26865000"/>
  </r>
  <r>
    <s v="INV200925020"/>
    <x v="191"/>
    <s v="DO200925020"/>
    <s v="PO17092501"/>
    <s v="PT Indo Plastik Mandiri"/>
    <s v="BP003"/>
    <x v="2"/>
    <n v="3150"/>
    <s v="kg"/>
    <n v="13500"/>
    <n v="42525000"/>
  </r>
  <r>
    <s v="INV210925021"/>
    <x v="192"/>
    <s v="DO210925021"/>
    <s v="PO18092501"/>
    <s v="PT Bintang Daur Ulang"/>
    <s v="BP007"/>
    <x v="6"/>
    <n v="1840"/>
    <s v="kg"/>
    <n v="11500"/>
    <n v="21160000"/>
  </r>
  <r>
    <s v="INV220925022"/>
    <x v="193"/>
    <s v="DO220925022"/>
    <s v="PO19092501"/>
    <s v="PT Maju Jaya Plastik"/>
    <s v="BP011"/>
    <x v="10"/>
    <n v="4200"/>
    <s v="kg"/>
    <n v="14500"/>
    <n v="60900000"/>
  </r>
  <r>
    <s v="INV230925023"/>
    <x v="194"/>
    <s v="DO230925023"/>
    <s v="PO20092501"/>
    <s v="PT Surya Polimer Indonesia"/>
    <s v="BP004"/>
    <x v="3"/>
    <n v="2990"/>
    <s v="kg"/>
    <n v="9500"/>
    <n v="28405000"/>
  </r>
  <r>
    <s v="INV240925024"/>
    <x v="195"/>
    <s v="DO240925024"/>
    <s v="PO21092501"/>
    <s v="PT Mitra Plastik Nusantara"/>
    <s v="BP009"/>
    <x v="8"/>
    <n v="2500"/>
    <s v="kg"/>
    <n v="12000"/>
    <n v="30000000"/>
  </r>
  <r>
    <s v="INV250925025"/>
    <x v="196"/>
    <s v="DO250925025"/>
    <s v="PO22092501"/>
    <s v="PT Global Recycle Industry"/>
    <s v="BP002"/>
    <x v="1"/>
    <n v="2680"/>
    <s v="kg"/>
    <n v="10000"/>
    <n v="26800000"/>
  </r>
  <r>
    <s v="INV260925026"/>
    <x v="197"/>
    <s v="DO260925026"/>
    <s v="PO23092501"/>
    <s v="PT Cahaya Plastik Abadi"/>
    <s v="BP008"/>
    <x v="7"/>
    <n v="3100"/>
    <s v="kg"/>
    <n v="8500"/>
    <n v="26350000"/>
  </r>
  <r>
    <s v="INV270925027"/>
    <x v="198"/>
    <s v="DO270925027"/>
    <s v="PO24092501"/>
    <s v="PT Indo Plastik Mandiri"/>
    <s v="BP005"/>
    <x v="4"/>
    <n v="3450"/>
    <s v="kg"/>
    <n v="11000"/>
    <n v="37950000"/>
  </r>
  <r>
    <s v="INV031025001"/>
    <x v="199"/>
    <s v="DO031025001"/>
    <s v="PO01102501"/>
    <s v="PT Maju Jaya Plastik"/>
    <s v="BP001"/>
    <x v="0"/>
    <n v="2100"/>
    <s v="kg"/>
    <n v="12500"/>
    <n v="26250000"/>
  </r>
  <r>
    <s v="INV051025002"/>
    <x v="200"/>
    <s v="DO051025002"/>
    <s v="PO02102501"/>
    <s v="PT Surya Polimer Indonesia"/>
    <s v="BP002"/>
    <x v="1"/>
    <n v="1850"/>
    <s v="kg"/>
    <n v="10000"/>
    <n v="18500000"/>
  </r>
  <r>
    <s v="INV061025003"/>
    <x v="201"/>
    <s v="DO061025003"/>
    <s v="PO03102501"/>
    <s v="PT Mitra Plastik Nusantara"/>
    <s v="BP003"/>
    <x v="2"/>
    <n v="3200"/>
    <s v="kg"/>
    <n v="13500"/>
    <n v="43200000"/>
  </r>
  <r>
    <s v="INV071025004"/>
    <x v="202"/>
    <s v="DO071025004"/>
    <s v="PO04102501"/>
    <s v="PT Global Recycle Industry"/>
    <s v="BP004"/>
    <x v="3"/>
    <n v="2750"/>
    <s v="kg"/>
    <n v="9500"/>
    <n v="26125000"/>
  </r>
  <r>
    <s v="INV081025005"/>
    <x v="203"/>
    <s v="DO081025005"/>
    <s v="PO05102501"/>
    <s v="PT Indo Plastik Mandiri"/>
    <s v="BP005"/>
    <x v="4"/>
    <n v="1980"/>
    <s v="kg"/>
    <n v="11000"/>
    <n v="21780000"/>
  </r>
  <r>
    <s v="INV091025006"/>
    <x v="204"/>
    <s v="DO091025006"/>
    <s v="PO06102501"/>
    <s v="PT Cahaya Plastik Abadi"/>
    <s v="BP006"/>
    <x v="5"/>
    <n v="3050"/>
    <s v="kg"/>
    <n v="9000"/>
    <n v="27450000"/>
  </r>
  <r>
    <s v="INV101025007"/>
    <x v="205"/>
    <s v="DO101025007"/>
    <s v="PO07102501"/>
    <s v="PT Bintang Daur Ulang"/>
    <s v="BP007"/>
    <x v="6"/>
    <n v="2240"/>
    <s v="kg"/>
    <n v="11500"/>
    <n v="25760000"/>
  </r>
  <r>
    <s v="INV111025008"/>
    <x v="206"/>
    <s v="DO111025008"/>
    <s v="PO08102501"/>
    <s v="PT Maju Jaya Plastik"/>
    <s v="BP008"/>
    <x v="7"/>
    <n v="2675"/>
    <s v="kg"/>
    <n v="8500"/>
    <n v="22737500"/>
  </r>
  <r>
    <s v="INV121025009"/>
    <x v="207"/>
    <s v="DO121025009"/>
    <s v="PO09102501"/>
    <s v="PT Surya Polimer Indonesia"/>
    <s v="BP009"/>
    <x v="8"/>
    <n v="2890"/>
    <s v="kg"/>
    <n v="12000"/>
    <n v="34680000"/>
  </r>
  <r>
    <s v="INV131025010"/>
    <x v="208"/>
    <s v="DO131025010"/>
    <s v="PO10102501"/>
    <s v="PT Mitra Plastik Nusantara"/>
    <s v="BP010"/>
    <x v="9"/>
    <n v="1760"/>
    <s v="kg"/>
    <n v="10500"/>
    <n v="18480000"/>
  </r>
  <r>
    <s v="INV141025011"/>
    <x v="209"/>
    <s v="DO141025011"/>
    <s v="PO11102501"/>
    <s v="PT Global Recycle Industry"/>
    <s v="BP011"/>
    <x v="10"/>
    <n v="3500"/>
    <s v="kg"/>
    <n v="14500"/>
    <n v="50750000"/>
  </r>
  <r>
    <s v="INV151025012"/>
    <x v="210"/>
    <s v="DO151025012"/>
    <s v="PO12102501"/>
    <s v="PT Indo Plastik Mandiri"/>
    <s v="BP001"/>
    <x v="0"/>
    <n v="2600"/>
    <s v="kg"/>
    <n v="12500"/>
    <n v="32500000"/>
  </r>
  <r>
    <s v="INV161025013"/>
    <x v="211"/>
    <s v="DO161025013"/>
    <s v="PO13102501"/>
    <s v="PT Cahaya Plastik Abadi"/>
    <s v="BP002"/>
    <x v="1"/>
    <n v="2400"/>
    <s v="kg"/>
    <n v="10000"/>
    <n v="24000000"/>
  </r>
  <r>
    <s v="INV171025014"/>
    <x v="212"/>
    <s v="DO171025014"/>
    <s v="PO14102501"/>
    <s v="PT Bintang Daur Ulang"/>
    <s v="BP003"/>
    <x v="2"/>
    <n v="3150"/>
    <s v="kg"/>
    <n v="13500"/>
    <n v="42525000"/>
  </r>
  <r>
    <s v="INV181025015"/>
    <x v="213"/>
    <s v="DO181025015"/>
    <s v="PO15102501"/>
    <s v="PT Maju Jaya Plastik"/>
    <s v="BP004"/>
    <x v="3"/>
    <n v="2210"/>
    <s v="kg"/>
    <n v="9500"/>
    <n v="20995000"/>
  </r>
  <r>
    <s v="INV191025016"/>
    <x v="214"/>
    <s v="DO191025016"/>
    <s v="PO16102501"/>
    <s v="PT Surya Polimer Indonesia"/>
    <s v="BP005"/>
    <x v="4"/>
    <n v="2750"/>
    <s v="kg"/>
    <n v="11000"/>
    <n v="30250000"/>
  </r>
  <r>
    <s v="INV201025017"/>
    <x v="215"/>
    <s v="DO201025017"/>
    <s v="PO17102501"/>
    <s v="PT Mitra Plastik Nusantara"/>
    <s v="BP006"/>
    <x v="5"/>
    <n v="2330"/>
    <s v="kg"/>
    <n v="9000"/>
    <n v="20970000"/>
  </r>
  <r>
    <s v="INV211025018"/>
    <x v="216"/>
    <s v="DO211025018"/>
    <s v="PO18102501"/>
    <s v="PT Global Recycle Industry"/>
    <s v="BP007"/>
    <x v="6"/>
    <n v="2980"/>
    <s v="kg"/>
    <n v="11500"/>
    <n v="34270000"/>
  </r>
  <r>
    <s v="INV221025019"/>
    <x v="217"/>
    <s v="DO221025019"/>
    <s v="PO19102501"/>
    <s v="PT Indo Plastik Mandiri"/>
    <s v="BP008"/>
    <x v="7"/>
    <n v="1880"/>
    <s v="kg"/>
    <n v="8500"/>
    <n v="15980000"/>
  </r>
  <r>
    <s v="INV231025020"/>
    <x v="218"/>
    <s v="DO231025020"/>
    <s v="PO20102501"/>
    <s v="PT Cahaya Plastik Abadi"/>
    <s v="BP009"/>
    <x v="8"/>
    <n v="3200"/>
    <s v="kg"/>
    <n v="12000"/>
    <n v="38400000"/>
  </r>
  <r>
    <s v="INV241025021"/>
    <x v="219"/>
    <s v="DO241025021"/>
    <s v="PO21102501"/>
    <s v="PT Bintang Daur Ulang"/>
    <s v="BP010"/>
    <x v="9"/>
    <n v="2450"/>
    <s v="kg"/>
    <n v="10500"/>
    <n v="25725000"/>
  </r>
  <r>
    <s v="INV251025022"/>
    <x v="220"/>
    <s v="DO251025022"/>
    <s v="PO22102501"/>
    <s v="PT Maju Jaya Plastik"/>
    <s v="BP011"/>
    <x v="10"/>
    <n v="3560"/>
    <s v="kg"/>
    <n v="14500"/>
    <n v="51620000"/>
  </r>
  <r>
    <s v="INV261025023"/>
    <x v="221"/>
    <s v="DO261025023"/>
    <s v="PO23102501"/>
    <s v="PT Surya Polimer Indonesia"/>
    <s v="BP001"/>
    <x v="0"/>
    <n v="2070"/>
    <s v="kg"/>
    <n v="12500"/>
    <n v="25875000"/>
  </r>
  <r>
    <s v="INV271025024"/>
    <x v="222"/>
    <s v="DO271025024"/>
    <s v="PO24102501"/>
    <s v="PT Mitra Plastik Nusantara"/>
    <s v="BP002"/>
    <x v="1"/>
    <n v="2940"/>
    <s v="kg"/>
    <n v="10000"/>
    <n v="29400000"/>
  </r>
  <r>
    <s v="INV281025025"/>
    <x v="223"/>
    <s v="DO281025025"/>
    <s v="PO25102501"/>
    <s v="PT Global Recycle Industry"/>
    <s v="BP003"/>
    <x v="2"/>
    <n v="3100"/>
    <s v="kg"/>
    <n v="13500"/>
    <n v="41850000"/>
  </r>
  <r>
    <s v="INV031125001"/>
    <x v="224"/>
    <s v="DO031125001"/>
    <s v="PO01112501"/>
    <s v="PT Maju Jaya Plastik"/>
    <s v="BP001"/>
    <x v="0"/>
    <n v="2150"/>
    <s v="kg"/>
    <n v="12500"/>
    <n v="26875000"/>
  </r>
  <r>
    <s v="INV041125002"/>
    <x v="225"/>
    <s v="DO041125002"/>
    <s v="PO01112502"/>
    <s v="PT Surya Polimer Indonesia"/>
    <s v="BP003"/>
    <x v="2"/>
    <n v="1850"/>
    <s v="kg"/>
    <n v="13500"/>
    <n v="24975000"/>
  </r>
  <r>
    <s v="INV041125003"/>
    <x v="225"/>
    <s v="DO041125003"/>
    <s v="PO01112503"/>
    <s v="PT Global Recycle Industry"/>
    <s v="BP006"/>
    <x v="5"/>
    <n v="3020"/>
    <s v="kg"/>
    <n v="9000"/>
    <n v="27180000"/>
  </r>
  <r>
    <s v="INV051125004"/>
    <x v="226"/>
    <s v="DO051125004"/>
    <s v="PO02112501"/>
    <s v="PT Indo Plastik Mandiri"/>
    <s v="BP004"/>
    <x v="3"/>
    <n v="1750"/>
    <s v="kg"/>
    <n v="9500"/>
    <n v="16625000"/>
  </r>
  <r>
    <s v="INV051125005"/>
    <x v="226"/>
    <s v="DO051125005"/>
    <s v="PO02112502"/>
    <s v="PT Cahaya Plastik Abadi"/>
    <s v="BP002"/>
    <x v="1"/>
    <n v="2640"/>
    <s v="kg"/>
    <n v="10000"/>
    <n v="26400000"/>
  </r>
  <r>
    <s v="INV061125006"/>
    <x v="227"/>
    <s v="DO061125006"/>
    <s v="PO03112501"/>
    <s v="PT Mitra Plastik Nusantara"/>
    <s v="BP005"/>
    <x v="4"/>
    <n v="3200"/>
    <s v="kg"/>
    <n v="11000"/>
    <n v="35200000"/>
  </r>
  <r>
    <s v="INV061125007"/>
    <x v="227"/>
    <s v="DO061125007"/>
    <s v="PO03112502"/>
    <s v="PT Bintang Daur Ulang"/>
    <s v="BP007"/>
    <x v="6"/>
    <n v="1450"/>
    <s v="kg"/>
    <n v="11500"/>
    <n v="16675000"/>
  </r>
  <r>
    <s v="INV071125008"/>
    <x v="228"/>
    <s v="DO071125008"/>
    <s v="PO04112501"/>
    <s v="PT Surya Polimer Indonesia"/>
    <s v="BP008"/>
    <x v="7"/>
    <n v="2860"/>
    <s v="kg"/>
    <n v="8500"/>
    <n v="24310000"/>
  </r>
  <r>
    <s v="INV071125009"/>
    <x v="228"/>
    <s v="DO071125009"/>
    <s v="PO04112502"/>
    <s v="PT Maju Jaya Plastik"/>
    <s v="BP001"/>
    <x v="0"/>
    <n v="1950"/>
    <s v="kg"/>
    <n v="12500"/>
    <n v="24375000"/>
  </r>
  <r>
    <s v="INV081125010"/>
    <x v="229"/>
    <s v="DO081125010"/>
    <s v="PO05112501"/>
    <s v="PT Indo Plastik Mandiri"/>
    <s v="BP009"/>
    <x v="8"/>
    <n v="2410"/>
    <s v="kg"/>
    <n v="12000"/>
    <n v="28920000"/>
  </r>
  <r>
    <s v="INV091125011"/>
    <x v="230"/>
    <s v="DO091125011"/>
    <s v="PO06112501"/>
    <s v="PT Cahaya Plastik Abadi"/>
    <s v="BP011"/>
    <x v="10"/>
    <n v="3560"/>
    <s v="kg"/>
    <n v="14500"/>
    <n v="51620000"/>
  </r>
  <r>
    <s v="INV101125012"/>
    <x v="231"/>
    <s v="DO101125012"/>
    <s v="PO07112501"/>
    <s v="PT Global Recycle Industry"/>
    <s v="BP004"/>
    <x v="3"/>
    <n v="2980"/>
    <s v="kg"/>
    <n v="9500"/>
    <n v="28310000"/>
  </r>
  <r>
    <s v="INV111125013"/>
    <x v="232"/>
    <s v="DO111125013"/>
    <s v="PO08112501"/>
    <s v="PT Mitra Plastik Nusantara"/>
    <s v="BP003"/>
    <x v="2"/>
    <n v="2100"/>
    <s v="kg"/>
    <n v="13500"/>
    <n v="28350000"/>
  </r>
  <r>
    <s v="INV121125014"/>
    <x v="233"/>
    <s v="DO121125014"/>
    <s v="PO09112501"/>
    <s v="PT Surya Polimer Indonesia"/>
    <s v="BP002"/>
    <x v="1"/>
    <n v="3300"/>
    <s v="kg"/>
    <n v="10000"/>
    <n v="33000000"/>
  </r>
  <r>
    <s v="INV131125015"/>
    <x v="234"/>
    <s v="DO131125015"/>
    <s v="PO10112501"/>
    <s v="PT Indo Plastik Mandiri"/>
    <s v="BP006"/>
    <x v="5"/>
    <n v="1840"/>
    <s v="kg"/>
    <n v="9000"/>
    <n v="16560000"/>
  </r>
  <r>
    <s v="INV141125016"/>
    <x v="235"/>
    <s v="DO141125016"/>
    <s v="PO11112501"/>
    <s v="PT Bintang Daur Ulang"/>
    <s v="BP007"/>
    <x v="6"/>
    <n v="1560"/>
    <s v="kg"/>
    <n v="11500"/>
    <n v="17940000"/>
  </r>
  <r>
    <s v="INV151125017"/>
    <x v="236"/>
    <s v="DO151125017"/>
    <s v="PO12112501"/>
    <s v="PT Cahaya Plastik Abadi"/>
    <s v="BP005"/>
    <x v="4"/>
    <n v="2890"/>
    <s v="kg"/>
    <n v="11000"/>
    <n v="31790000"/>
  </r>
  <r>
    <s v="INV161125018"/>
    <x v="237"/>
    <s v="DO161125018"/>
    <s v="PO13112501"/>
    <s v="PT Global Recycle Industry"/>
    <s v="BP011"/>
    <x v="10"/>
    <n v="3620"/>
    <s v="kg"/>
    <n v="14500"/>
    <n v="52490000"/>
  </r>
  <r>
    <s v="INV171125019"/>
    <x v="238"/>
    <s v="DO171125019"/>
    <s v="PO14112501"/>
    <s v="PT Maju Jaya Plastik"/>
    <s v="BP001"/>
    <x v="0"/>
    <n v="2740"/>
    <s v="kg"/>
    <n v="12500"/>
    <n v="34250000"/>
  </r>
  <r>
    <s v="INV181125020"/>
    <x v="239"/>
    <s v="DO181125020"/>
    <s v="PO15112501"/>
    <s v="PT Mitra Plastik Nusantara"/>
    <s v="BP004"/>
    <x v="3"/>
    <n v="1990"/>
    <s v="kg"/>
    <n v="9500"/>
    <n v="18905000"/>
  </r>
  <r>
    <s v="INV191125021"/>
    <x v="240"/>
    <s v="DO191125021"/>
    <s v="PO16112501"/>
    <s v="PT Surya Polimer Indonesia"/>
    <s v="BP008"/>
    <x v="7"/>
    <n v="3050"/>
    <s v="kg"/>
    <n v="8500"/>
    <n v="25925000"/>
  </r>
  <r>
    <s v="INV201125022"/>
    <x v="241"/>
    <s v="DO201125022"/>
    <s v="PO17112501"/>
    <s v="PT Indo Plastik Mandiri"/>
    <s v="BP003"/>
    <x v="2"/>
    <n v="2480"/>
    <s v="kg"/>
    <n v="13500"/>
    <n v="33480000"/>
  </r>
  <r>
    <s v="INV211125023"/>
    <x v="242"/>
    <s v="DO211125023"/>
    <s v="PO18112501"/>
    <s v="PT Bintang Daur Ulang"/>
    <s v="BP010"/>
    <x v="9"/>
    <n v="1670"/>
    <s v="kg"/>
    <n v="10500"/>
    <n v="17535000"/>
  </r>
  <r>
    <s v="INV221125024"/>
    <x v="243"/>
    <s v="DO221125024"/>
    <s v="PO19112501"/>
    <s v="PT Cahaya Plastik Abadi"/>
    <s v="BP009"/>
    <x v="8"/>
    <n v="2230"/>
    <s v="kg"/>
    <n v="12000"/>
    <n v="26760000"/>
  </r>
  <r>
    <s v="INV231125025"/>
    <x v="244"/>
    <s v="DO231125025"/>
    <s v="PO20112501"/>
    <s v="PT Global Recycle Industry"/>
    <s v="BP006"/>
    <x v="5"/>
    <n v="2870"/>
    <s v="kg"/>
    <n v="9000"/>
    <n v="25830000"/>
  </r>
  <r>
    <s v="INV241125026"/>
    <x v="245"/>
    <s v="DO241125026"/>
    <s v="PO21112501"/>
    <s v="PT Mitra Plastik Nusantara"/>
    <s v="BP001"/>
    <x v="0"/>
    <n v="3120"/>
    <s v="kg"/>
    <n v="12500"/>
    <n v="39000000"/>
  </r>
  <r>
    <s v="INV031225001"/>
    <x v="246"/>
    <s v="DO031225001"/>
    <s v="PO01122501"/>
    <s v="PT Maju Jaya Plastik"/>
    <s v="BP001"/>
    <x v="0"/>
    <n v="1850"/>
    <s v="kg"/>
    <n v="12500"/>
    <n v="23125000"/>
  </r>
  <r>
    <s v="INV041225002"/>
    <x v="247"/>
    <s v="DO041225002"/>
    <s v="PO01122502"/>
    <s v="PT Surya Polimer Indonesia"/>
    <s v="BP002"/>
    <x v="1"/>
    <n v="2950"/>
    <s v="kg"/>
    <n v="10000"/>
    <n v="29500000"/>
  </r>
  <r>
    <s v="INV041225003"/>
    <x v="247"/>
    <s v="DO041225003"/>
    <s v="PO01122503"/>
    <s v="PT Mitra Plastik Nusantara"/>
    <s v="BP003"/>
    <x v="2"/>
    <n v="2100"/>
    <s v="kg"/>
    <n v="13500"/>
    <n v="28350000"/>
  </r>
  <r>
    <s v="INV051225004"/>
    <x v="248"/>
    <s v="DO051225004"/>
    <s v="PO02122501"/>
    <s v="PT Global Recycle Industry"/>
    <s v="BP004"/>
    <x v="3"/>
    <n v="1740"/>
    <s v="kg"/>
    <n v="9500"/>
    <n v="16530000"/>
  </r>
  <r>
    <s v="INV051225005"/>
    <x v="248"/>
    <s v="DO051225005"/>
    <s v="PO02122502"/>
    <s v="PT Indo Plastik Mandiri"/>
    <s v="BP005"/>
    <x v="4"/>
    <n v="2600"/>
    <s v="kg"/>
    <n v="11000"/>
    <n v="28600000"/>
  </r>
  <r>
    <s v="INV061225006"/>
    <x v="249"/>
    <s v="DO061225006"/>
    <s v="PO03122501"/>
    <s v="PT Cahaya Plastik Abadi"/>
    <s v="BP006"/>
    <x v="5"/>
    <n v="3250"/>
    <s v="kg"/>
    <n v="9000"/>
    <n v="29250000"/>
  </r>
  <r>
    <s v="INV061225007"/>
    <x v="249"/>
    <s v="DO061225007"/>
    <s v="PO03122502"/>
    <s v="PT Bintang Daur Ulang"/>
    <s v="BP007"/>
    <x v="6"/>
    <n v="1480"/>
    <s v="kg"/>
    <n v="11500"/>
    <n v="17020000"/>
  </r>
  <r>
    <s v="INV071225008"/>
    <x v="250"/>
    <s v="DO071225008"/>
    <s v="PO04122501"/>
    <s v="PT Maju Jaya Plastik"/>
    <s v="BP008"/>
    <x v="7"/>
    <n v="2100"/>
    <s v="kg"/>
    <n v="8500"/>
    <n v="17850000"/>
  </r>
  <r>
    <s v="INV071225009"/>
    <x v="250"/>
    <s v="DO071225009"/>
    <s v="PO04122502"/>
    <s v="PT Surya Polimer Indonesia"/>
    <s v="BP001"/>
    <x v="0"/>
    <n v="3320"/>
    <s v="kg"/>
    <n v="12500"/>
    <n v="41500000"/>
  </r>
  <r>
    <s v="INV081225010"/>
    <x v="251"/>
    <s v="DO081225010"/>
    <s v="PO05122501"/>
    <s v="PT Mitra Plastik Nusantara"/>
    <s v="BP009"/>
    <x v="8"/>
    <n v="2550"/>
    <s v="kg"/>
    <n v="12000"/>
    <n v="30600000"/>
  </r>
  <r>
    <s v="INV081225011"/>
    <x v="251"/>
    <s v="DO081225011"/>
    <s v="PO05122502"/>
    <s v="PT Global Recycle Industry"/>
    <s v="BP004"/>
    <x v="3"/>
    <n v="3780"/>
    <s v="kg"/>
    <n v="9500"/>
    <n v="35910000"/>
  </r>
  <r>
    <s v="INV091225012"/>
    <x v="252"/>
    <s v="DO091225012"/>
    <s v="PO06122501"/>
    <s v="PT Indo Plastik Mandiri"/>
    <s v="BP011"/>
    <x v="10"/>
    <n v="3150"/>
    <s v="kg"/>
    <n v="14500"/>
    <n v="45675000"/>
  </r>
  <r>
    <s v="INV091225013"/>
    <x v="252"/>
    <s v="DO091225013"/>
    <s v="PO06122502"/>
    <s v="PT Cahaya Plastik Abadi"/>
    <s v="BP002"/>
    <x v="1"/>
    <n v="2890"/>
    <s v="kg"/>
    <n v="10000"/>
    <n v="28900000"/>
  </r>
  <r>
    <s v="INV101225014"/>
    <x v="253"/>
    <s v="DO101225014"/>
    <s v="PO07122501"/>
    <s v="PT Bintang Daur Ulang"/>
    <s v="BP003"/>
    <x v="2"/>
    <n v="1940"/>
    <s v="kg"/>
    <n v="13500"/>
    <n v="26190000"/>
  </r>
  <r>
    <s v="INV111225015"/>
    <x v="254"/>
    <s v="DO111225015"/>
    <s v="PO08122501"/>
    <s v="PT Maju Jaya Plastik"/>
    <s v="BP001"/>
    <x v="0"/>
    <n v="3500"/>
    <s v="kg"/>
    <n v="12500"/>
    <n v="43750000"/>
  </r>
  <r>
    <s v="INV121225016"/>
    <x v="255"/>
    <s v="DO121225016"/>
    <s v="PO09122501"/>
    <s v="PT Surya Polimer Indonesia"/>
    <s v="BP008"/>
    <x v="7"/>
    <n v="2250"/>
    <s v="kg"/>
    <n v="8500"/>
    <n v="19125000"/>
  </r>
  <r>
    <s v="INV131225017"/>
    <x v="256"/>
    <s v="DO131225017"/>
    <s v="PO10122501"/>
    <s v="PT Mitra Plastik Nusantara"/>
    <s v="BP005"/>
    <x v="4"/>
    <n v="2730"/>
    <s v="kg"/>
    <n v="11000"/>
    <n v="30030000"/>
  </r>
  <r>
    <s v="INV141225018"/>
    <x v="257"/>
    <s v="DO141225018"/>
    <s v="PO11122501"/>
    <s v="PT Global Recycle Industry"/>
    <s v="BP007"/>
    <x v="6"/>
    <n v="1650"/>
    <s v="kg"/>
    <n v="11500"/>
    <n v="18975000"/>
  </r>
  <r>
    <s v="INV151225019"/>
    <x v="258"/>
    <s v="DO151225019"/>
    <s v="PO12122501"/>
    <s v="PT Indo Plastik Mandiri"/>
    <s v="BP006"/>
    <x v="5"/>
    <n v="3080"/>
    <s v="kg"/>
    <n v="9000"/>
    <n v="27720000"/>
  </r>
  <r>
    <s v="INV161225020"/>
    <x v="259"/>
    <s v="DO161225020"/>
    <s v="PO13122501"/>
    <s v="PT Cahaya Plastik Abadi"/>
    <s v="BP009"/>
    <x v="8"/>
    <n v="2420"/>
    <s v="kg"/>
    <n v="12000"/>
    <n v="29040000"/>
  </r>
  <r>
    <s v="INV171225021"/>
    <x v="260"/>
    <s v="DO171225021"/>
    <s v="PO14122501"/>
    <s v="PT Bintang Daur Ulang"/>
    <s v="BP011"/>
    <x v="10"/>
    <n v="3340"/>
    <s v="kg"/>
    <n v="14500"/>
    <n v="48430000"/>
  </r>
  <r>
    <s v="INV181225022"/>
    <x v="261"/>
    <s v="DO181225022"/>
    <s v="PO15122501"/>
    <s v="PT Maju Jaya Plastik"/>
    <s v="BP004"/>
    <x v="3"/>
    <n v="2870"/>
    <s v="kg"/>
    <n v="9500"/>
    <n v="27265000"/>
  </r>
  <r>
    <s v="INV191225023"/>
    <x v="262"/>
    <s v="DO191225023"/>
    <s v="PO16122501"/>
    <s v="PT Surya Polimer Indonesia"/>
    <s v="BP001"/>
    <x v="0"/>
    <n v="3620"/>
    <s v="kg"/>
    <n v="12500"/>
    <n v="45250000"/>
  </r>
  <r>
    <s v="INV201225024"/>
    <x v="263"/>
    <s v="DO201225024"/>
    <s v="PO17122501"/>
    <s v="PT Mitra Plastik Nusantara"/>
    <s v="BP003"/>
    <x v="2"/>
    <n v="2080"/>
    <s v="kg"/>
    <n v="13500"/>
    <n v="28080000"/>
  </r>
  <r>
    <s v="INV211225025"/>
    <x v="264"/>
    <s v="DO211225025"/>
    <s v="PO18122501"/>
    <s v="PT Global Recycle Industry"/>
    <s v="BP008"/>
    <x v="7"/>
    <n v="2310"/>
    <s v="kg"/>
    <n v="8500"/>
    <n v="19635000"/>
  </r>
  <r>
    <s v="INV221225026"/>
    <x v="265"/>
    <s v="DO221225026"/>
    <s v="PO19122501"/>
    <s v="PT Indo Plastik Mandiri"/>
    <s v="BP002"/>
    <x v="1"/>
    <n v="2980"/>
    <s v="kg"/>
    <n v="10000"/>
    <n v="29800000"/>
  </r>
  <r>
    <s v="INV231225027"/>
    <x v="266"/>
    <s v="DO231225027"/>
    <s v="PO20122501"/>
    <s v="PT Cahaya Plastik Abadi"/>
    <s v="BP005"/>
    <x v="4"/>
    <n v="2750"/>
    <s v="kg"/>
    <n v="11000"/>
    <n v="3025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712A0-821F-4020-ADA2-4C74E7B3ED3D}" name="PivotTable15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Bulan" colHeaderCaption="Produk">
  <location ref="H2:T16" firstHeaderRow="1" firstDataRow="2" firstDataCol="1"/>
  <pivotFields count="14">
    <pivotField showAll="0"/>
    <pivotField numFmtId="14" showAll="0">
      <items count="268">
        <item x="143"/>
        <item x="144"/>
        <item x="14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showAll="0"/>
    <pivotField showAll="0"/>
    <pivotField showAll="0"/>
    <pivotField showAll="0"/>
    <pivotField axis="axisCol" showAll="0">
      <items count="12">
        <item x="6"/>
        <item x="9"/>
        <item x="3"/>
        <item x="2"/>
        <item x="1"/>
        <item x="0"/>
        <item x="5"/>
        <item x="10"/>
        <item x="7"/>
        <item x="4"/>
        <item x="8"/>
        <item t="default"/>
      </items>
    </pivotField>
    <pivotField dataField="1" showAll="0"/>
    <pivotField showAll="0"/>
    <pivotField numFmtId="164" showAll="0"/>
    <pivotField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6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Qty Product per Month" fld="7" baseField="0" baseItem="0" numFmtId="3"/>
  </dataFields>
  <formats count="47">
    <format dxfId="0">
      <pivotArea type="all" dataOnly="0" outline="0" fieldPosition="0"/>
    </format>
    <format dxfId="1">
      <pivotArea outline="0" collapsedLevelsAreSubtotals="1" fieldPosition="0"/>
    </format>
    <format dxfId="2">
      <pivotArea field="11" type="button" dataOnly="0" labelOnly="1" outline="0" axis="axisRow" fieldPosition="0"/>
    </format>
    <format dxfId="3">
      <pivotArea type="topRight" dataOnly="0" labelOnly="1" outline="0" fieldPosition="0"/>
    </format>
    <format dxfId="4">
      <pivotArea dataOnly="0" labelOnly="1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5">
      <pivotArea dataOnly="0" labelOnly="1" grandCol="1" outline="0" fieldPosition="0"/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type="origin" dataOnly="0" labelOnly="1" outline="0" fieldPosition="0"/>
    </format>
    <format dxfId="9">
      <pivotArea field="11" type="button" dataOnly="0" labelOnly="1" outline="0" axis="axisRow" fieldPosition="0"/>
    </format>
    <format dxfId="10">
      <pivotArea type="topRight" dataOnly="0" labelOnly="1" outline="0" fieldPosition="0"/>
    </format>
    <format dxfId="11">
      <pivotArea field="6" type="button" dataOnly="0" labelOnly="1" outline="0" axis="axisCol" fieldPosition="0"/>
    </format>
    <format dxfId="12">
      <pivotArea dataOnly="0" labelOnly="1" fieldPosition="0">
        <references count="1">
          <reference field="6" count="0"/>
        </references>
      </pivotArea>
    </format>
    <format dxfId="13">
      <pivotArea dataOnly="0" labelOnly="1" grandRow="1" outline="0" fieldPosition="0"/>
    </format>
    <format dxfId="14">
      <pivotArea dataOnly="0" labelOnly="1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5">
      <pivotArea dataOnly="0" labelOnly="1" grandCol="1" outline="0" fieldPosition="0"/>
    </format>
    <format dxfId="16">
      <pivotArea type="origin" dataOnly="0" labelOnly="1" outline="0" fieldPosition="0"/>
    </format>
    <format dxfId="17">
      <pivotArea field="6" type="button" dataOnly="0" labelOnly="1" outline="0" axis="axisCol" fieldPosition="0"/>
    </format>
    <format dxfId="18">
      <pivotArea dataOnly="0" labelOnly="1" fieldPosition="0">
        <references count="1">
          <reference field="6" count="0"/>
        </references>
      </pivotArea>
    </format>
    <format dxfId="19">
      <pivotArea dataOnly="0" labelOnly="1" grandRow="1" outline="0" fieldPosition="0"/>
    </format>
    <format dxfId="20">
      <pivotArea type="origin" dataOnly="0" labelOnly="1" outline="0" fieldPosition="0"/>
    </format>
    <format dxfId="21">
      <pivotArea field="11" type="button" dataOnly="0" labelOnly="1" outline="0" axis="axisRow" fieldPosition="0"/>
    </format>
    <format dxfId="22">
      <pivotArea type="topRight" dataOnly="0" labelOnly="1" outline="0" fieldPosition="0"/>
    </format>
    <format dxfId="23">
      <pivotArea field="6" type="button" dataOnly="0" labelOnly="1" outline="0" axis="axisCol" fieldPosition="0"/>
    </format>
    <format dxfId="24">
      <pivotArea dataOnly="0" labelOnly="1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5">
      <pivotArea dataOnly="0" labelOnly="1" grandCol="1" outline="0" fieldPosition="0"/>
    </format>
    <format dxfId="26">
      <pivotArea type="origin" dataOnly="0" labelOnly="1" outline="0" fieldPosition="0"/>
    </format>
    <format dxfId="27">
      <pivotArea field="11" type="button" dataOnly="0" labelOnly="1" outline="0" axis="axisRow" fieldPosition="0"/>
    </format>
    <format dxfId="28">
      <pivotArea type="topRight" dataOnly="0" labelOnly="1" outline="0" fieldPosition="0"/>
    </format>
    <format dxfId="29">
      <pivotArea field="6" type="button" dataOnly="0" labelOnly="1" outline="0" axis="axisCol" fieldPosition="0"/>
    </format>
    <format dxfId="30">
      <pivotArea dataOnly="0" labelOnly="1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1">
      <pivotArea dataOnly="0" labelOnly="1" grandCol="1" outline="0" fieldPosition="0"/>
    </format>
    <format dxfId="32">
      <pivotArea type="origin" dataOnly="0" labelOnly="1" outline="0" fieldPosition="0"/>
    </format>
    <format dxfId="33">
      <pivotArea field="11" type="button" dataOnly="0" labelOnly="1" outline="0" axis="axisRow" fieldPosition="0"/>
    </format>
    <format dxfId="34">
      <pivotArea type="topRight" dataOnly="0" labelOnly="1" outline="0" fieldPosition="0"/>
    </format>
    <format dxfId="35">
      <pivotArea field="6" type="button" dataOnly="0" labelOnly="1" outline="0" axis="axisCol" fieldPosition="0"/>
    </format>
    <format dxfId="36">
      <pivotArea dataOnly="0" labelOnly="1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37">
      <pivotArea dataOnly="0" labelOnly="1" grandCol="1" outline="0" fieldPosition="0"/>
    </format>
    <format dxfId="38">
      <pivotArea grandRow="1" outline="0" collapsedLevelsAreSubtotals="1" fieldPosition="0"/>
    </format>
    <format dxfId="39">
      <pivotArea dataOnly="0" labelOnly="1" grandRow="1" outline="0" fieldPosition="0"/>
    </format>
    <format dxfId="40">
      <pivotArea outline="0" collapsedLevelsAreSubtotals="1" fieldPosition="0"/>
    </format>
    <format dxfId="41">
      <pivotArea dataOnly="0" labelOnly="1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42">
      <pivotArea dataOnly="0" labelOnly="1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43">
      <pivotArea dataOnly="0" labelOnly="1" fieldPosition="0">
        <references count="1">
          <reference field="6" count="0"/>
        </references>
      </pivotArea>
    </format>
    <format dxfId="44">
      <pivotArea dataOnly="0" labelOnly="1" grandCol="1" outline="0" fieldPosition="0"/>
    </format>
    <format dxfId="45">
      <pivotArea dataOnly="0" labelOnly="1" fieldPosition="0">
        <references count="1">
          <reference field="6" count="0"/>
        </references>
      </pivotArea>
    </format>
    <format dxfId="46">
      <pivotArea dataOnly="0" labelOnly="1" grandCol="1" outline="0" fieldPosition="0"/>
    </format>
  </formats>
  <chartFormats count="11">
    <chartFormat chart="5" format="5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5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6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6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5" format="6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5" format="6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5" format="6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5" format="6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7"/>
          </reference>
        </references>
      </pivotArea>
    </chartFormat>
    <chartFormat chart="5" format="6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8"/>
          </reference>
        </references>
      </pivotArea>
    </chartFormat>
    <chartFormat chart="5" format="6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9"/>
          </reference>
        </references>
      </pivotArea>
    </chartFormat>
    <chartFormat chart="5" format="6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4AD46B-5DB0-49E4-AB9C-28BDA02B2239}" name="PivotTable1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Customer">
  <location ref="E32:F40" firstHeaderRow="1" firstDataRow="1" firstDataCol="1"/>
  <pivotFields count="4"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numFmtId="3" showAll="0"/>
    <pivotField numFmtId="9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Qty (Kg)" fld="2" baseField="0" baseItem="0" numFmtId="3"/>
  </dataFields>
  <formats count="8">
    <format dxfId="68">
      <pivotArea field="1" type="button" dataOnly="0" labelOnly="1" outline="0" axis="axisRow" fieldPosition="0"/>
    </format>
    <format dxfId="67">
      <pivotArea dataOnly="0" labelOnly="1" outline="0" axis="axisValues" fieldPosition="0"/>
    </format>
    <format dxfId="66">
      <pivotArea field="1" type="button" dataOnly="0" labelOnly="1" outline="0" axis="axisRow" fieldPosition="0"/>
    </format>
    <format dxfId="65">
      <pivotArea dataOnly="0" labelOnly="1" outline="0" axis="axisValues" fieldPosition="0"/>
    </format>
    <format dxfId="64">
      <pivotArea field="1" type="button" dataOnly="0" labelOnly="1" outline="0" axis="axisRow" fieldPosition="0"/>
    </format>
    <format dxfId="63">
      <pivotArea dataOnly="0" labelOnly="1" outline="0" axis="axisValues" fieldPosition="0"/>
    </format>
    <format dxfId="60">
      <pivotArea grandRow="1" outline="0" collapsedLevelsAreSubtotals="1" fieldPosition="0"/>
    </format>
    <format dxfId="59">
      <pivotArea dataOnly="0" labelOnly="1" grandRow="1" outline="0" fieldPosition="0"/>
    </format>
  </formats>
  <chartFormats count="1">
    <chartFormat chart="13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DF930A-11D6-4D8F-AD1B-D485A4EB7F7E}" name="PivotTable1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 rowHeaderCaption="Customer">
  <location ref="E22:F30" firstHeaderRow="1" firstDataRow="1" firstDataCol="1"/>
  <pivotFields count="4"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numFmtId="3" showAll="0"/>
    <pivotField dataField="1" numFmtId="9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Persentase" fld="3" baseField="0" baseItem="0" numFmtId="9"/>
  </dataFields>
  <formats count="10">
    <format dxfId="76">
      <pivotArea field="1" type="button" dataOnly="0" labelOnly="1" outline="0" axis="axisRow" fieldPosition="0"/>
    </format>
    <format dxfId="75">
      <pivotArea dataOnly="0" labelOnly="1" outline="0" axis="axisValues" fieldPosition="0"/>
    </format>
    <format dxfId="74">
      <pivotArea field="1" type="button" dataOnly="0" labelOnly="1" outline="0" axis="axisRow" fieldPosition="0"/>
    </format>
    <format dxfId="73">
      <pivotArea dataOnly="0" labelOnly="1" outline="0" axis="axisValues" fieldPosition="0"/>
    </format>
    <format dxfId="72">
      <pivotArea field="1" type="button" dataOnly="0" labelOnly="1" outline="0" axis="axisRow" fieldPosition="0"/>
    </format>
    <format dxfId="71">
      <pivotArea dataOnly="0" labelOnly="1" outline="0" axis="axisValues" fieldPosition="0"/>
    </format>
    <format dxfId="70">
      <pivotArea field="1" type="button" dataOnly="0" labelOnly="1" outline="0" axis="axisRow" fieldPosition="0"/>
    </format>
    <format dxfId="69">
      <pivotArea dataOnly="0" labelOnly="1" outline="0" axis="axisValues" fieldPosition="0"/>
    </format>
    <format dxfId="62">
      <pivotArea grandRow="1" outline="0" collapsedLevelsAreSubtotals="1" fieldPosition="0"/>
    </format>
    <format dxfId="61">
      <pivotArea dataOnly="0" labelOnly="1" grandRow="1" outline="0" fieldPosition="0"/>
    </format>
  </formats>
  <chartFormats count="8">
    <chartFormat chart="22" format="7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7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2" format="7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2" format="7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2" format="7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2" format="7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2" format="7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2" format="7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495EF0-750A-4FF9-ACB0-1E30B91F194F}" name="PivotTable6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Product">
  <location ref="AA2:AB14" firstHeaderRow="1" firstDataRow="1" firstDataCol="1"/>
  <pivotFields count="4">
    <pivotField showAll="0"/>
    <pivotField axis="axisRow" showAll="0" sortType="ascending">
      <items count="12">
        <item x="6"/>
        <item x="9"/>
        <item x="3"/>
        <item x="2"/>
        <item x="1"/>
        <item x="0"/>
        <item x="5"/>
        <item x="10"/>
        <item x="7"/>
        <item x="4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6" showAll="0"/>
    <pivotField dataField="1" numFmtId="1" showAll="0"/>
  </pivotFields>
  <rowFields count="1">
    <field x="1"/>
  </rowFields>
  <rowItems count="12">
    <i>
      <x v="1"/>
    </i>
    <i>
      <x/>
    </i>
    <i>
      <x v="8"/>
    </i>
    <i>
      <x v="10"/>
    </i>
    <i>
      <x v="6"/>
    </i>
    <i>
      <x v="2"/>
    </i>
    <i>
      <x v="4"/>
    </i>
    <i>
      <x v="9"/>
    </i>
    <i>
      <x v="3"/>
    </i>
    <i>
      <x v="5"/>
    </i>
    <i>
      <x v="7"/>
    </i>
    <i t="grand">
      <x/>
    </i>
  </rowItems>
  <colItems count="1">
    <i/>
  </colItems>
  <dataFields count="1">
    <dataField name="Total PO (Juta)" fld="3" baseField="0" baseItem="0" numFmtId="171"/>
  </dataFields>
  <formats count="9">
    <format dxfId="85">
      <pivotArea field="1" type="button" dataOnly="0" labelOnly="1" outline="0" axis="axisRow" fieldPosition="0"/>
    </format>
    <format dxfId="84">
      <pivotArea dataOnly="0" labelOnly="1" outline="0" axis="axisValues" fieldPosition="0"/>
    </format>
    <format dxfId="83">
      <pivotArea field="1" type="button" dataOnly="0" labelOnly="1" outline="0" axis="axisRow" fieldPosition="0"/>
    </format>
    <format dxfId="82">
      <pivotArea dataOnly="0" labelOnly="1" outline="0" axis="axisValues" fieldPosition="0"/>
    </format>
    <format dxfId="81">
      <pivotArea field="1" type="button" dataOnly="0" labelOnly="1" outline="0" axis="axisRow" fieldPosition="0"/>
    </format>
    <format dxfId="80">
      <pivotArea dataOnly="0" labelOnly="1" outline="0" axis="axisValues" fieldPosition="0"/>
    </format>
    <format dxfId="79">
      <pivotArea grandRow="1" outline="0" collapsedLevelsAreSubtotals="1" fieldPosition="0"/>
    </format>
    <format dxfId="78">
      <pivotArea dataOnly="0" labelOnly="1" grandRow="1" outline="0" fieldPosition="0"/>
    </format>
    <format dxfId="77">
      <pivotArea outline="0" collapsedLevelsAreSubtotals="1" fieldPosition="0"/>
    </format>
  </formats>
  <chartFormats count="2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D8291B-FC8C-4E78-9CCA-420B8E66DA20}" name="PivotTable5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">
  <location ref="E12:F20" firstHeaderRow="1" firstDataRow="1" firstDataCol="1"/>
  <pivotFields count="14">
    <pivotField showAll="0"/>
    <pivotField numFmtId="14" showAll="0">
      <items count="268">
        <item x="143"/>
        <item x="144"/>
        <item x="14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showAll="0"/>
    <pivotField showAll="0"/>
    <pivotField axis="axisRow" showAll="0">
      <items count="8">
        <item x="6"/>
        <item x="5"/>
        <item x="3"/>
        <item x="4"/>
        <item x="0"/>
        <item x="2"/>
        <item x="1"/>
        <item t="default"/>
      </items>
    </pivotField>
    <pivotField showAll="0"/>
    <pivotField showAll="0"/>
    <pivotField showAll="0"/>
    <pivotField showAll="0"/>
    <pivotField numFmtId="164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Purchase (Rp)" fld="10" baseField="0" baseItem="0" numFmtId="164"/>
  </dataFields>
  <formats count="8">
    <format dxfId="101">
      <pivotArea field="4" type="button" dataOnly="0" labelOnly="1" outline="0" axis="axisRow" fieldPosition="0"/>
    </format>
    <format dxfId="100">
      <pivotArea dataOnly="0" labelOnly="1" outline="0" axis="axisValues" fieldPosition="0"/>
    </format>
    <format dxfId="99">
      <pivotArea field="4" type="button" dataOnly="0" labelOnly="1" outline="0" axis="axisRow" fieldPosition="0"/>
    </format>
    <format dxfId="98">
      <pivotArea dataOnly="0" labelOnly="1" outline="0" axis="axisValues" fieldPosition="0"/>
    </format>
    <format dxfId="97">
      <pivotArea field="4" type="button" dataOnly="0" labelOnly="1" outline="0" axis="axisRow" fieldPosition="0"/>
    </format>
    <format dxfId="96">
      <pivotArea dataOnly="0" labelOnly="1" outline="0" axis="axisValues" fieldPosition="0"/>
    </format>
    <format dxfId="95">
      <pivotArea grandRow="1" outline="0" collapsedLevelsAreSubtotals="1" fieldPosition="0"/>
    </format>
    <format dxfId="9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01145E-7E0F-42F1-869C-E2CE1B3EEC49}" name="PivotTable4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k">
  <location ref="B16:C28" firstHeaderRow="1" firstDataRow="1" firstDataCol="1"/>
  <pivotFields count="14">
    <pivotField showAll="0"/>
    <pivotField numFmtId="14" showAll="0">
      <items count="268">
        <item x="143"/>
        <item x="144"/>
        <item x="14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showAll="0"/>
    <pivotField showAll="0"/>
    <pivotField showAll="0"/>
    <pivotField showAll="0"/>
    <pivotField axis="axisRow" showAll="0" sortType="ascending">
      <items count="12">
        <item x="6"/>
        <item x="9"/>
        <item x="3"/>
        <item x="2"/>
        <item x="1"/>
        <item x="0"/>
        <item x="5"/>
        <item x="10"/>
        <item x="7"/>
        <item x="4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6"/>
  </rowFields>
  <rowItems count="12">
    <i>
      <x v="1"/>
    </i>
    <i>
      <x/>
    </i>
    <i>
      <x v="8"/>
    </i>
    <i>
      <x v="10"/>
    </i>
    <i>
      <x v="6"/>
    </i>
    <i>
      <x v="2"/>
    </i>
    <i>
      <x v="4"/>
    </i>
    <i>
      <x v="9"/>
    </i>
    <i>
      <x v="3"/>
    </i>
    <i>
      <x v="5"/>
    </i>
    <i>
      <x v="7"/>
    </i>
    <i t="grand">
      <x/>
    </i>
  </rowItems>
  <colItems count="1">
    <i/>
  </colItems>
  <dataFields count="1">
    <dataField name="Total Purchase (Rp)" fld="10" baseField="0" baseItem="0" numFmtId="164"/>
  </dataFields>
  <formats count="8">
    <format dxfId="109">
      <pivotArea field="6" type="button" dataOnly="0" labelOnly="1" outline="0" axis="axisRow" fieldPosition="0"/>
    </format>
    <format dxfId="108">
      <pivotArea dataOnly="0" labelOnly="1" outline="0" axis="axisValues" fieldPosition="0"/>
    </format>
    <format dxfId="107">
      <pivotArea field="6" type="button" dataOnly="0" labelOnly="1" outline="0" axis="axisRow" fieldPosition="0"/>
    </format>
    <format dxfId="106">
      <pivotArea dataOnly="0" labelOnly="1" outline="0" axis="axisValues" fieldPosition="0"/>
    </format>
    <format dxfId="105">
      <pivotArea field="6" type="button" dataOnly="0" labelOnly="1" outline="0" axis="axisRow" fieldPosition="0"/>
    </format>
    <format dxfId="104">
      <pivotArea dataOnly="0" labelOnly="1" outline="0" axis="axisValues" fieldPosition="0"/>
    </format>
    <format dxfId="103">
      <pivotArea grandRow="1" outline="0" collapsedLevelsAreSubtotals="1" fieldPosition="0"/>
    </format>
    <format dxfId="10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C7DBA-B764-4DC3-A75A-A63DC9EE48BF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">
  <location ref="E2:F10" firstHeaderRow="1" firstDataRow="1" firstDataCol="1"/>
  <pivotFields count="8">
    <pivotField showAll="0"/>
    <pivotField numFmtId="14" showAll="0"/>
    <pivotField showAll="0"/>
    <pivotField axis="axisRow" showAll="0">
      <items count="8">
        <item x="6"/>
        <item x="5"/>
        <item x="3"/>
        <item x="4"/>
        <item x="0"/>
        <item x="2"/>
        <item x="1"/>
        <item t="default"/>
      </items>
    </pivotField>
    <pivotField showAll="0"/>
    <pivotField showAll="0"/>
    <pivotField dataField="1"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Qty" fld="6" baseField="0" baseItem="0"/>
  </dataFields>
  <formats count="8">
    <format dxfId="86">
      <pivotArea field="3" type="button" dataOnly="0" labelOnly="1" outline="0" axis="axisRow" fieldPosition="0"/>
    </format>
    <format dxfId="87">
      <pivotArea dataOnly="0" labelOnly="1" outline="0" axis="axisValues" fieldPosition="0"/>
    </format>
    <format dxfId="88">
      <pivotArea field="3" type="button" dataOnly="0" labelOnly="1" outline="0" axis="axisRow" fieldPosition="0"/>
    </format>
    <format dxfId="89">
      <pivotArea dataOnly="0" labelOnly="1" outline="0" axis="axisValues" fieldPosition="0"/>
    </format>
    <format dxfId="90">
      <pivotArea field="3" type="button" dataOnly="0" labelOnly="1" outline="0" axis="axisRow" fieldPosition="0"/>
    </format>
    <format dxfId="91">
      <pivotArea dataOnly="0" labelOnly="1" outline="0" axis="axisValues" fieldPosition="0"/>
    </format>
    <format dxfId="92">
      <pivotArea grandRow="1" outline="0" collapsedLevelsAreSubtotals="1" fieldPosition="0"/>
    </format>
    <format dxfId="9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153760-E692-4090-9709-205DDFE8162A}" name="PivotTable9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" colHeaderCaption="Bulan">
  <location ref="H18:P32" firstHeaderRow="1" firstDataRow="2" firstDataCol="1"/>
  <pivotFields count="14">
    <pivotField showAll="0"/>
    <pivotField numFmtId="14" showAll="0">
      <items count="268">
        <item x="143"/>
        <item x="144"/>
        <item x="14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t="default"/>
      </items>
    </pivotField>
    <pivotField showAll="0"/>
    <pivotField showAll="0"/>
    <pivotField axis="axisCol" showAll="0">
      <items count="8">
        <item x="6"/>
        <item x="5"/>
        <item x="3"/>
        <item x="4"/>
        <item x="0"/>
        <item x="2"/>
        <item x="1"/>
        <item t="default"/>
      </items>
    </pivotField>
    <pivotField showAll="0"/>
    <pivotField showAll="0"/>
    <pivotField dataField="1" showAll="0"/>
    <pivotField showAll="0"/>
    <pivotField numFmtId="164" showAll="0"/>
    <pivotField numFmtId="164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showAll="0" defaultSubtotal="0">
      <items count="8">
        <item sd="0" x="0"/>
        <item sd="0" x="1"/>
        <item sd="0" x="2"/>
        <item sd="0" x="3"/>
        <item sd="0" x="4"/>
        <item sd="0" x="5"/>
        <item sd="0" x="6"/>
        <item sd="0" x="7"/>
      </items>
    </pivotField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Total Product Purchase per Month" fld="7" baseField="0" baseItem="0"/>
  </dataFields>
  <formats count="30">
    <format dxfId="128">
      <pivotArea type="origin" dataOnly="0" labelOnly="1" outline="0" fieldPosition="0"/>
    </format>
    <format dxfId="127">
      <pivotArea field="11" type="button" dataOnly="0" labelOnly="1" outline="0" axis="axisRow" fieldPosition="0"/>
    </format>
    <format dxfId="126">
      <pivotArea type="topRight" dataOnly="0" labelOnly="1" outline="0" fieldPosition="0"/>
    </format>
    <format dxfId="125">
      <pivotArea field="4" type="button" dataOnly="0" labelOnly="1" outline="0" axis="axisCol" fieldPosition="0"/>
    </format>
    <format dxfId="124">
      <pivotArea dataOnly="0" labelOnly="1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23">
      <pivotArea dataOnly="0" labelOnly="1" grandCol="1" outline="0" fieldPosition="0"/>
    </format>
    <format dxfId="122">
      <pivotArea type="origin" dataOnly="0" labelOnly="1" outline="0" fieldPosition="0"/>
    </format>
    <format dxfId="121">
      <pivotArea field="11" type="button" dataOnly="0" labelOnly="1" outline="0" axis="axisRow" fieldPosition="0"/>
    </format>
    <format dxfId="120">
      <pivotArea type="topRight" dataOnly="0" labelOnly="1" outline="0" fieldPosition="0"/>
    </format>
    <format dxfId="119">
      <pivotArea field="4" type="button" dataOnly="0" labelOnly="1" outline="0" axis="axisCol" fieldPosition="0"/>
    </format>
    <format dxfId="118">
      <pivotArea dataOnly="0" labelOnly="1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117">
      <pivotArea dataOnly="0" labelOnly="1" grandCol="1" outline="0" fieldPosition="0"/>
    </format>
    <format dxfId="116">
      <pivotArea type="origin" dataOnly="0" labelOnly="1" outline="0" fieldPosition="0"/>
    </format>
    <format dxfId="115">
      <pivotArea field="11" type="button" dataOnly="0" labelOnly="1" outline="0" axis="axisRow" fieldPosition="0"/>
    </format>
    <format dxfId="114">
      <pivotArea type="topRight" dataOnly="0" labelOnly="1" outline="0" fieldPosition="0"/>
    </format>
    <format dxfId="113">
      <pivotArea field="4" type="button" dataOnly="0" labelOnly="1" outline="0" axis="axisCol" fieldPosition="0"/>
    </format>
    <format dxfId="112">
      <pivotArea dataOnly="0" labelOnly="1" grandCol="1" outline="0" fieldPosition="0"/>
    </format>
    <format dxfId="111">
      <pivotArea grandRow="1" outline="0" collapsedLevelsAreSubtotals="1" fieldPosition="0"/>
    </format>
    <format dxfId="110">
      <pivotArea dataOnly="0" labelOnly="1" grandRow="1" outline="0" fieldPosition="0"/>
    </format>
    <format dxfId="57">
      <pivotArea dataOnly="0" labelOnly="1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56">
      <pivotArea dataOnly="0" labelOnly="1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55">
      <pivotArea field="11" type="button" dataOnly="0" labelOnly="1" outline="0" axis="axisRow" fieldPosition="0"/>
    </format>
    <format dxfId="54">
      <pivotArea dataOnly="0" labelOnly="1" fieldPosition="0">
        <references count="1">
          <reference field="4" count="0"/>
        </references>
      </pivotArea>
    </format>
    <format dxfId="53">
      <pivotArea dataOnly="0" labelOnly="1" grandCol="1" outline="0" fieldPosition="0"/>
    </format>
    <format dxfId="52">
      <pivotArea field="11" type="button" dataOnly="0" labelOnly="1" outline="0" axis="axisRow" fieldPosition="0"/>
    </format>
    <format dxfId="51">
      <pivotArea dataOnly="0" labelOnly="1" fieldPosition="0">
        <references count="1">
          <reference field="4" count="0"/>
        </references>
      </pivotArea>
    </format>
    <format dxfId="50">
      <pivotArea dataOnly="0" labelOnly="1" grandCol="1" outline="0" fieldPosition="0"/>
    </format>
    <format dxfId="49">
      <pivotArea field="11" type="button" dataOnly="0" labelOnly="1" outline="0" axis="axisRow" fieldPosition="0"/>
    </format>
    <format dxfId="48">
      <pivotArea dataOnly="0" labelOnly="1" fieldPosition="0">
        <references count="1">
          <reference field="4" count="0"/>
        </references>
      </pivotArea>
    </format>
    <format dxfId="4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D8B2A-8B73-4227-970F-A0F30E91DBA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Produk">
  <location ref="B2:C14" firstHeaderRow="1" firstDataRow="1" firstDataCol="1"/>
  <pivotFields count="8">
    <pivotField numFmtId="14" showAll="0"/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 sortType="ascending">
      <items count="12">
        <item x="6"/>
        <item x="9"/>
        <item x="3"/>
        <item x="2"/>
        <item x="1"/>
        <item x="0"/>
        <item x="5"/>
        <item x="10"/>
        <item x="7"/>
        <item x="4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numFmtId="14" showAll="0"/>
  </pivotFields>
  <rowFields count="1">
    <field x="4"/>
  </rowFields>
  <rowItems count="12">
    <i>
      <x v="1"/>
    </i>
    <i>
      <x/>
    </i>
    <i>
      <x v="10"/>
    </i>
    <i>
      <x v="8"/>
    </i>
    <i>
      <x v="7"/>
    </i>
    <i>
      <x v="3"/>
    </i>
    <i>
      <x v="2"/>
    </i>
    <i>
      <x v="9"/>
    </i>
    <i>
      <x v="6"/>
    </i>
    <i>
      <x v="4"/>
    </i>
    <i>
      <x v="5"/>
    </i>
    <i t="grand">
      <x/>
    </i>
  </rowItems>
  <colItems count="1">
    <i/>
  </colItems>
  <dataFields count="1">
    <dataField name="Total Qty" fld="5" baseField="0" baseItem="0" numFmtId="3"/>
  </dataFields>
  <formats count="9">
    <format dxfId="136">
      <pivotArea field="4" type="button" dataOnly="0" labelOnly="1" outline="0" axis="axisRow" fieldPosition="0"/>
    </format>
    <format dxfId="135">
      <pivotArea dataOnly="0" labelOnly="1" outline="0" axis="axisValues" fieldPosition="0"/>
    </format>
    <format dxfId="134">
      <pivotArea field="4" type="button" dataOnly="0" labelOnly="1" outline="0" axis="axisRow" fieldPosition="0"/>
    </format>
    <format dxfId="133">
      <pivotArea dataOnly="0" labelOnly="1" outline="0" axis="axisValues" fieldPosition="0"/>
    </format>
    <format dxfId="132">
      <pivotArea field="4" type="button" dataOnly="0" labelOnly="1" outline="0" axis="axisRow" fieldPosition="0"/>
    </format>
    <format dxfId="131">
      <pivotArea dataOnly="0" labelOnly="1" outline="0" axis="axisValues" fieldPosition="0"/>
    </format>
    <format dxfId="130">
      <pivotArea dataOnly="0" labelOnly="1" grandRow="1" outline="0" fieldPosition="0"/>
    </format>
    <format dxfId="129">
      <pivotArea grandRow="1" outline="0" collapsedLevelsAreSubtotals="1" fieldPosition="0"/>
    </format>
    <format dxfId="58">
      <pivotArea outline="0" collapsedLevelsAreSubtotals="1" fieldPosition="0"/>
    </format>
  </formats>
  <chartFormats count="2"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FE87-7C65-433C-8E5D-BE757707B288}">
  <dimension ref="A1"/>
  <sheetViews>
    <sheetView showGridLines="0" zoomScale="57" zoomScaleNormal="153" workbookViewId="0">
      <selection activeCell="Y19" sqref="Y19"/>
    </sheetView>
  </sheetViews>
  <sheetFormatPr defaultRowHeight="14.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D7C5E-5C93-46F3-B81F-A70395CA4FF0}">
  <dimension ref="B2:G13"/>
  <sheetViews>
    <sheetView workbookViewId="0">
      <selection activeCell="F3" sqref="F3:F9"/>
    </sheetView>
  </sheetViews>
  <sheetFormatPr defaultRowHeight="14.5"/>
  <cols>
    <col min="2" max="2" width="5.90625" bestFit="1" customWidth="1"/>
    <col min="3" max="3" width="21.7265625" bestFit="1" customWidth="1"/>
    <col min="4" max="4" width="11.36328125" style="4" bestFit="1" customWidth="1"/>
    <col min="7" max="7" width="23.6328125" bestFit="1" customWidth="1"/>
  </cols>
  <sheetData>
    <row r="2" spans="2:7">
      <c r="B2" s="8" t="s">
        <v>36</v>
      </c>
      <c r="C2" s="8" t="s">
        <v>3</v>
      </c>
      <c r="D2" s="9" t="s">
        <v>464</v>
      </c>
      <c r="F2" s="39" t="s">
        <v>36</v>
      </c>
      <c r="G2" s="39" t="s">
        <v>995</v>
      </c>
    </row>
    <row r="3" spans="2:7">
      <c r="B3" s="7" t="s">
        <v>7</v>
      </c>
      <c r="C3" s="7" t="s">
        <v>8</v>
      </c>
      <c r="D3" s="11">
        <v>12500</v>
      </c>
      <c r="F3" s="40" t="s">
        <v>1003</v>
      </c>
      <c r="G3" s="40" t="s">
        <v>25</v>
      </c>
    </row>
    <row r="4" spans="2:7">
      <c r="B4" s="7" t="s">
        <v>11</v>
      </c>
      <c r="C4" s="7" t="s">
        <v>12</v>
      </c>
      <c r="D4" s="11">
        <v>10000</v>
      </c>
      <c r="F4" s="40" t="s">
        <v>1004</v>
      </c>
      <c r="G4" s="40" t="s">
        <v>22</v>
      </c>
    </row>
    <row r="5" spans="2:7">
      <c r="B5" s="7" t="s">
        <v>14</v>
      </c>
      <c r="C5" s="7" t="s">
        <v>15</v>
      </c>
      <c r="D5" s="11">
        <v>13500</v>
      </c>
      <c r="F5" s="40" t="s">
        <v>1005</v>
      </c>
      <c r="G5" s="40" t="s">
        <v>16</v>
      </c>
    </row>
    <row r="6" spans="2:7">
      <c r="B6" s="7" t="s">
        <v>17</v>
      </c>
      <c r="C6" s="7" t="s">
        <v>18</v>
      </c>
      <c r="D6" s="11">
        <v>9500</v>
      </c>
      <c r="F6" s="40" t="s">
        <v>1006</v>
      </c>
      <c r="G6" s="40" t="s">
        <v>19</v>
      </c>
    </row>
    <row r="7" spans="2:7">
      <c r="B7" s="7" t="s">
        <v>20</v>
      </c>
      <c r="C7" s="7" t="s">
        <v>21</v>
      </c>
      <c r="D7" s="11">
        <v>11000</v>
      </c>
      <c r="F7" s="40" t="s">
        <v>1007</v>
      </c>
      <c r="G7" s="40" t="s">
        <v>6</v>
      </c>
    </row>
    <row r="8" spans="2:7">
      <c r="B8" s="7" t="s">
        <v>23</v>
      </c>
      <c r="C8" s="7" t="s">
        <v>24</v>
      </c>
      <c r="D8" s="11">
        <v>9000</v>
      </c>
      <c r="F8" s="40" t="s">
        <v>1008</v>
      </c>
      <c r="G8" s="40" t="s">
        <v>13</v>
      </c>
    </row>
    <row r="9" spans="2:7">
      <c r="B9" s="7" t="s">
        <v>26</v>
      </c>
      <c r="C9" s="7" t="s">
        <v>27</v>
      </c>
      <c r="D9" s="11">
        <v>11500</v>
      </c>
      <c r="F9" s="40" t="s">
        <v>1009</v>
      </c>
      <c r="G9" s="40" t="s">
        <v>10</v>
      </c>
    </row>
    <row r="10" spans="2:7">
      <c r="B10" s="7" t="s">
        <v>28</v>
      </c>
      <c r="C10" s="7" t="s">
        <v>29</v>
      </c>
      <c r="D10" s="11">
        <v>8500</v>
      </c>
    </row>
    <row r="11" spans="2:7">
      <c r="B11" s="7" t="s">
        <v>30</v>
      </c>
      <c r="C11" s="7" t="s">
        <v>31</v>
      </c>
      <c r="D11" s="11">
        <v>12000</v>
      </c>
    </row>
    <row r="12" spans="2:7">
      <c r="B12" s="7" t="s">
        <v>32</v>
      </c>
      <c r="C12" s="7" t="s">
        <v>33</v>
      </c>
      <c r="D12" s="11">
        <v>10500</v>
      </c>
    </row>
    <row r="13" spans="2:7">
      <c r="B13" s="7" t="s">
        <v>34</v>
      </c>
      <c r="C13" s="7" t="s">
        <v>35</v>
      </c>
      <c r="D13" s="11">
        <v>14500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7D6D0-5D6A-42A7-A710-25CBD6568773}">
  <dimension ref="A2:AD313"/>
  <sheetViews>
    <sheetView zoomScaleNormal="100" workbookViewId="0">
      <selection activeCell="B2" sqref="B2:I313"/>
    </sheetView>
  </sheetViews>
  <sheetFormatPr defaultRowHeight="14.5"/>
  <cols>
    <col min="1" max="1" width="10.453125" style="10" bestFit="1" customWidth="1"/>
    <col min="2" max="2" width="15.90625" style="10" bestFit="1" customWidth="1"/>
    <col min="3" max="3" width="12.1796875" style="10" bestFit="1" customWidth="1"/>
    <col min="4" max="4" width="23.6328125" style="6" bestFit="1" customWidth="1"/>
    <col min="5" max="5" width="11.36328125" style="10" bestFit="1" customWidth="1"/>
    <col min="6" max="6" width="21.7265625" style="6" bestFit="1" customWidth="1"/>
    <col min="7" max="7" width="7.54296875" style="10" bestFit="1" customWidth="1"/>
    <col min="8" max="8" width="6.6328125" style="10" bestFit="1" customWidth="1"/>
    <col min="9" max="9" width="17.36328125" style="10" bestFit="1" customWidth="1"/>
    <col min="10" max="10" width="8.7265625" style="10"/>
    <col min="11" max="11" width="12.6328125" style="10" bestFit="1" customWidth="1"/>
    <col min="12" max="12" width="10.7265625" style="10" bestFit="1" customWidth="1"/>
    <col min="13" max="13" width="11.36328125" style="10" bestFit="1" customWidth="1"/>
    <col min="14" max="14" width="23.6328125" style="6" bestFit="1" customWidth="1"/>
    <col min="15" max="15" width="11.81640625" style="10" bestFit="1" customWidth="1"/>
    <col min="16" max="16" width="21.81640625" style="6" bestFit="1" customWidth="1"/>
    <col min="17" max="17" width="7.81640625" style="10" bestFit="1" customWidth="1"/>
    <col min="18" max="18" width="6.90625" style="10" bestFit="1" customWidth="1"/>
    <col min="19" max="19" width="8.7265625" style="10"/>
    <col min="20" max="20" width="12.7265625" style="10" bestFit="1" customWidth="1"/>
    <col min="21" max="21" width="14.1796875" style="10" bestFit="1" customWidth="1"/>
    <col min="22" max="22" width="12.453125" style="10" bestFit="1" customWidth="1"/>
    <col min="23" max="23" width="11.1796875" style="10" bestFit="1" customWidth="1"/>
    <col min="24" max="24" width="23.6328125" style="6" bestFit="1" customWidth="1"/>
    <col min="25" max="25" width="11.6328125" style="10" bestFit="1" customWidth="1"/>
    <col min="26" max="26" width="21.7265625" style="6" bestFit="1" customWidth="1"/>
    <col min="27" max="27" width="7.7265625" style="10" bestFit="1" customWidth="1"/>
    <col min="28" max="28" width="6.81640625" style="10" bestFit="1" customWidth="1"/>
    <col min="29" max="29" width="12.6328125" style="14" bestFit="1" customWidth="1"/>
    <col min="30" max="30" width="15.54296875" style="10" bestFit="1" customWidth="1"/>
    <col min="31" max="16384" width="8.7265625" style="10"/>
  </cols>
  <sheetData>
    <row r="2" spans="1:30">
      <c r="B2" s="2" t="s">
        <v>465</v>
      </c>
      <c r="C2" s="2" t="s">
        <v>37</v>
      </c>
      <c r="D2" s="2" t="s">
        <v>1</v>
      </c>
      <c r="E2" s="2" t="s">
        <v>2</v>
      </c>
      <c r="F2" s="2" t="s">
        <v>3</v>
      </c>
      <c r="G2" s="2" t="s">
        <v>38</v>
      </c>
      <c r="H2" s="2" t="s">
        <v>4</v>
      </c>
      <c r="I2" s="2" t="s">
        <v>5</v>
      </c>
      <c r="K2" s="20"/>
      <c r="L2" s="20"/>
      <c r="M2" s="20"/>
      <c r="N2" s="20"/>
      <c r="O2" s="20"/>
      <c r="P2" s="20"/>
      <c r="Q2" s="20"/>
      <c r="R2" s="20"/>
      <c r="T2" s="17"/>
      <c r="U2" s="17"/>
      <c r="V2" s="17"/>
      <c r="W2" s="17"/>
      <c r="X2" s="17"/>
      <c r="Y2" s="17"/>
      <c r="Z2" s="17"/>
      <c r="AA2" s="17"/>
      <c r="AB2" s="17"/>
      <c r="AC2" s="18"/>
      <c r="AD2" s="17"/>
    </row>
    <row r="3" spans="1:30">
      <c r="A3" s="21"/>
      <c r="B3" s="12">
        <v>45653</v>
      </c>
      <c r="C3" s="1" t="s">
        <v>39</v>
      </c>
      <c r="D3" s="13" t="s">
        <v>6</v>
      </c>
      <c r="E3" s="1" t="s">
        <v>7</v>
      </c>
      <c r="F3" s="13" t="str">
        <f>VLOOKUP(E3,'Master Kode'!$B$3:$D$13,2,0)</f>
        <v>PET Clear Flakes</v>
      </c>
      <c r="G3" s="1">
        <v>1205</v>
      </c>
      <c r="H3" s="1" t="s">
        <v>9</v>
      </c>
      <c r="I3" s="12">
        <v>45660</v>
      </c>
      <c r="K3" s="4"/>
      <c r="L3" s="3"/>
      <c r="M3" s="4"/>
      <c r="N3" s="5"/>
      <c r="O3" s="4"/>
      <c r="P3" s="5"/>
      <c r="Q3" s="4"/>
      <c r="R3" s="4"/>
      <c r="T3" s="1"/>
      <c r="U3" s="12"/>
      <c r="V3" s="1"/>
      <c r="W3" s="1"/>
      <c r="X3" s="13"/>
      <c r="Y3" s="1"/>
      <c r="Z3" s="13"/>
      <c r="AA3" s="1"/>
      <c r="AB3" s="1"/>
      <c r="AC3" s="19"/>
      <c r="AD3" s="19"/>
    </row>
    <row r="4" spans="1:30">
      <c r="A4" s="21"/>
      <c r="B4" s="12">
        <v>45653</v>
      </c>
      <c r="C4" s="1" t="s">
        <v>40</v>
      </c>
      <c r="D4" s="13" t="s">
        <v>10</v>
      </c>
      <c r="E4" s="1" t="s">
        <v>11</v>
      </c>
      <c r="F4" s="13" t="str">
        <f>VLOOKUP(E4,'Master Kode'!$B$3:$D$13,2,0)</f>
        <v>PET Blue Flakes</v>
      </c>
      <c r="G4" s="1">
        <v>3015</v>
      </c>
      <c r="H4" s="1" t="s">
        <v>9</v>
      </c>
      <c r="I4" s="12">
        <v>45661</v>
      </c>
      <c r="K4" s="4"/>
      <c r="L4" s="3"/>
      <c r="M4" s="4"/>
      <c r="N4" s="5"/>
      <c r="O4" s="4"/>
      <c r="P4" s="5"/>
      <c r="Q4" s="4"/>
      <c r="R4" s="4"/>
      <c r="T4" s="1"/>
      <c r="U4" s="12"/>
      <c r="V4" s="1"/>
      <c r="W4" s="1"/>
      <c r="X4" s="13"/>
      <c r="Y4" s="1"/>
      <c r="Z4" s="13"/>
      <c r="AA4" s="1"/>
      <c r="AB4" s="1"/>
      <c r="AC4" s="19"/>
      <c r="AD4" s="19"/>
    </row>
    <row r="5" spans="1:30">
      <c r="A5" s="21"/>
      <c r="B5" s="12">
        <v>45654</v>
      </c>
      <c r="C5" s="1" t="s">
        <v>41</v>
      </c>
      <c r="D5" s="13" t="s">
        <v>13</v>
      </c>
      <c r="E5" s="1" t="s">
        <v>14</v>
      </c>
      <c r="F5" s="13" t="str">
        <f>VLOOKUP(E5,'Master Kode'!$B$3:$D$13,2,0)</f>
        <v>HDPE Natural Flakes</v>
      </c>
      <c r="G5" s="1">
        <v>2150</v>
      </c>
      <c r="H5" s="1" t="s">
        <v>9</v>
      </c>
      <c r="I5" s="12">
        <v>45662</v>
      </c>
      <c r="K5" s="4"/>
      <c r="L5" s="3"/>
      <c r="M5" s="4"/>
      <c r="N5" s="5"/>
      <c r="O5" s="4"/>
      <c r="P5" s="5"/>
      <c r="Q5" s="4"/>
      <c r="R5" s="4"/>
      <c r="T5" s="1"/>
      <c r="U5" s="12"/>
      <c r="V5" s="1"/>
      <c r="W5" s="1"/>
      <c r="X5" s="13"/>
      <c r="Y5" s="1"/>
      <c r="Z5" s="13"/>
      <c r="AA5" s="1"/>
      <c r="AB5" s="1"/>
      <c r="AC5" s="19"/>
      <c r="AD5" s="19"/>
    </row>
    <row r="6" spans="1:30">
      <c r="A6" s="21"/>
      <c r="B6" s="12">
        <v>45654</v>
      </c>
      <c r="C6" s="1" t="s">
        <v>42</v>
      </c>
      <c r="D6" s="13" t="s">
        <v>16</v>
      </c>
      <c r="E6" s="1" t="s">
        <v>17</v>
      </c>
      <c r="F6" s="13" t="str">
        <f>VLOOKUP(E6,'Master Kode'!$B$3:$D$13,2,0)</f>
        <v>HDPE Mixed Color Flakes</v>
      </c>
      <c r="G6" s="1">
        <v>1890</v>
      </c>
      <c r="H6" s="1" t="s">
        <v>9</v>
      </c>
      <c r="I6" s="12">
        <v>45662</v>
      </c>
      <c r="K6" s="4"/>
      <c r="L6" s="3"/>
      <c r="M6" s="4"/>
      <c r="N6" s="5"/>
      <c r="O6" s="4"/>
      <c r="P6" s="5"/>
      <c r="Q6" s="4"/>
      <c r="R6" s="4"/>
      <c r="T6" s="1"/>
      <c r="U6" s="12"/>
      <c r="V6" s="1"/>
      <c r="W6" s="1"/>
      <c r="X6" s="13"/>
      <c r="Y6" s="1"/>
      <c r="Z6" s="13"/>
      <c r="AA6" s="1"/>
      <c r="AB6" s="1"/>
      <c r="AC6" s="19"/>
      <c r="AD6" s="19"/>
    </row>
    <row r="7" spans="1:30">
      <c r="A7" s="21"/>
      <c r="B7" s="12">
        <v>45655</v>
      </c>
      <c r="C7" s="1" t="s">
        <v>43</v>
      </c>
      <c r="D7" s="13" t="s">
        <v>19</v>
      </c>
      <c r="E7" s="1" t="s">
        <v>20</v>
      </c>
      <c r="F7" s="13" t="str">
        <f>VLOOKUP(E7,'Master Kode'!$B$3:$D$13,2,0)</f>
        <v>PP Injection Flakes</v>
      </c>
      <c r="G7" s="1">
        <v>2750</v>
      </c>
      <c r="H7" s="1" t="s">
        <v>9</v>
      </c>
      <c r="I7" s="12">
        <v>45663</v>
      </c>
      <c r="K7" s="4"/>
      <c r="L7" s="3"/>
      <c r="M7" s="4"/>
      <c r="N7" s="5"/>
      <c r="O7" s="4"/>
      <c r="P7" s="5"/>
      <c r="Q7" s="4"/>
      <c r="R7" s="4"/>
      <c r="T7" s="1"/>
      <c r="U7" s="12"/>
      <c r="V7" s="1"/>
      <c r="W7" s="1"/>
      <c r="X7" s="13"/>
      <c r="Y7" s="1"/>
      <c r="Z7" s="13"/>
      <c r="AA7" s="1"/>
      <c r="AB7" s="1"/>
      <c r="AC7" s="19"/>
      <c r="AD7" s="19"/>
    </row>
    <row r="8" spans="1:30">
      <c r="A8" s="21"/>
      <c r="B8" s="12">
        <v>45655</v>
      </c>
      <c r="C8" s="1" t="s">
        <v>44</v>
      </c>
      <c r="D8" s="13" t="s">
        <v>22</v>
      </c>
      <c r="E8" s="1" t="s">
        <v>23</v>
      </c>
      <c r="F8" s="13" t="str">
        <f>VLOOKUP(E8,'Master Kode'!$B$3:$D$13,2,0)</f>
        <v>PET Green Flakes</v>
      </c>
      <c r="G8" s="1">
        <v>3320</v>
      </c>
      <c r="H8" s="1" t="s">
        <v>9</v>
      </c>
      <c r="I8" s="12">
        <v>45664</v>
      </c>
      <c r="K8" s="4"/>
      <c r="L8" s="3"/>
      <c r="M8" s="4"/>
      <c r="N8" s="5"/>
      <c r="O8" s="4"/>
      <c r="P8" s="5"/>
      <c r="Q8" s="4"/>
      <c r="R8" s="4"/>
      <c r="T8" s="1"/>
      <c r="U8" s="12"/>
      <c r="V8" s="1"/>
      <c r="W8" s="1"/>
      <c r="X8" s="13"/>
      <c r="Y8" s="1"/>
      <c r="Z8" s="13"/>
      <c r="AA8" s="1"/>
      <c r="AB8" s="1"/>
      <c r="AC8" s="19"/>
      <c r="AD8" s="19"/>
    </row>
    <row r="9" spans="1:30">
      <c r="A9" s="21"/>
      <c r="B9" s="12">
        <v>45656</v>
      </c>
      <c r="C9" s="1" t="s">
        <v>45</v>
      </c>
      <c r="D9" s="13" t="s">
        <v>25</v>
      </c>
      <c r="E9" s="1" t="s">
        <v>26</v>
      </c>
      <c r="F9" s="13" t="str">
        <f>VLOOKUP(E9,'Master Kode'!$B$3:$D$13,2,0)</f>
        <v>HDPE Blue Drum Flakes</v>
      </c>
      <c r="G9" s="1">
        <v>1450</v>
      </c>
      <c r="H9" s="1" t="s">
        <v>9</v>
      </c>
      <c r="I9" s="12">
        <v>45664</v>
      </c>
      <c r="K9" s="4"/>
      <c r="L9" s="3"/>
      <c r="M9" s="4"/>
      <c r="N9" s="5"/>
      <c r="O9" s="4"/>
      <c r="P9" s="5"/>
      <c r="Q9" s="4"/>
      <c r="R9" s="4"/>
      <c r="T9" s="1"/>
      <c r="U9" s="12"/>
      <c r="V9" s="1"/>
      <c r="W9" s="1"/>
      <c r="X9" s="13"/>
      <c r="Y9" s="1"/>
      <c r="Z9" s="13"/>
      <c r="AA9" s="1"/>
      <c r="AB9" s="1"/>
      <c r="AC9" s="19"/>
      <c r="AD9" s="19"/>
    </row>
    <row r="10" spans="1:30">
      <c r="A10" s="21"/>
      <c r="B10" s="12">
        <v>45656</v>
      </c>
      <c r="C10" s="1" t="s">
        <v>46</v>
      </c>
      <c r="D10" s="13" t="s">
        <v>6</v>
      </c>
      <c r="E10" s="1" t="s">
        <v>28</v>
      </c>
      <c r="F10" s="13" t="str">
        <f>VLOOKUP(E10,'Master Kode'!$B$3:$D$13,2,0)</f>
        <v>PET Mixed Color Flakes</v>
      </c>
      <c r="G10" s="1">
        <v>2100</v>
      </c>
      <c r="H10" s="1" t="s">
        <v>9</v>
      </c>
      <c r="I10" s="12">
        <v>45665</v>
      </c>
      <c r="K10" s="4"/>
      <c r="L10" s="3"/>
      <c r="M10" s="4"/>
      <c r="N10" s="5"/>
      <c r="O10" s="4"/>
      <c r="P10" s="5"/>
      <c r="Q10" s="4"/>
      <c r="R10" s="4"/>
      <c r="T10" s="1"/>
      <c r="U10" s="12"/>
      <c r="V10" s="1"/>
      <c r="W10" s="1"/>
      <c r="X10" s="13"/>
      <c r="Y10" s="1"/>
      <c r="Z10" s="13"/>
      <c r="AA10" s="1"/>
      <c r="AB10" s="1"/>
      <c r="AC10" s="19"/>
      <c r="AD10" s="19"/>
    </row>
    <row r="11" spans="1:30">
      <c r="A11" s="21"/>
      <c r="B11" s="12">
        <v>45657</v>
      </c>
      <c r="C11" s="1" t="s">
        <v>47</v>
      </c>
      <c r="D11" s="13" t="s">
        <v>10</v>
      </c>
      <c r="E11" s="1" t="s">
        <v>30</v>
      </c>
      <c r="F11" s="13" t="str">
        <f>VLOOKUP(E11,'Master Kode'!$B$3:$D$13,2,0)</f>
        <v>PP White Flakes</v>
      </c>
      <c r="G11" s="1">
        <v>3980</v>
      </c>
      <c r="H11" s="1" t="s">
        <v>9</v>
      </c>
      <c r="I11" s="12">
        <v>45666</v>
      </c>
      <c r="K11" s="4"/>
      <c r="L11" s="3"/>
      <c r="M11" s="4"/>
      <c r="N11" s="5"/>
      <c r="O11" s="4"/>
      <c r="P11" s="5"/>
      <c r="Q11" s="4"/>
      <c r="R11" s="4"/>
      <c r="T11" s="1"/>
      <c r="U11" s="12"/>
      <c r="V11" s="1"/>
      <c r="W11" s="1"/>
      <c r="X11" s="13"/>
      <c r="Y11" s="1"/>
      <c r="Z11" s="13"/>
      <c r="AA11" s="1"/>
      <c r="AB11" s="1"/>
      <c r="AC11" s="19"/>
      <c r="AD11" s="19"/>
    </row>
    <row r="12" spans="1:30">
      <c r="A12" s="21"/>
      <c r="B12" s="12">
        <v>45658</v>
      </c>
      <c r="C12" s="1" t="s">
        <v>48</v>
      </c>
      <c r="D12" s="13" t="s">
        <v>13</v>
      </c>
      <c r="E12" s="1" t="s">
        <v>32</v>
      </c>
      <c r="F12" s="13" t="str">
        <f>VLOOKUP(E12,'Master Kode'!$B$3:$D$13,2,0)</f>
        <v>HDPE Bottle Cap Flakes</v>
      </c>
      <c r="G12" s="1">
        <v>2560</v>
      </c>
      <c r="H12" s="1" t="s">
        <v>9</v>
      </c>
      <c r="I12" s="12">
        <v>45667</v>
      </c>
      <c r="K12" s="4"/>
      <c r="L12" s="3"/>
      <c r="M12" s="4"/>
      <c r="N12" s="5"/>
      <c r="O12" s="4"/>
      <c r="P12" s="5"/>
      <c r="Q12" s="4"/>
      <c r="R12" s="4"/>
      <c r="T12" s="1"/>
      <c r="U12" s="12"/>
      <c r="V12" s="1"/>
      <c r="W12" s="1"/>
      <c r="X12" s="13"/>
      <c r="Y12" s="1"/>
      <c r="Z12" s="13"/>
      <c r="AA12" s="1"/>
      <c r="AB12" s="1"/>
      <c r="AC12" s="19"/>
      <c r="AD12" s="19"/>
    </row>
    <row r="13" spans="1:30">
      <c r="A13" s="21"/>
      <c r="B13" s="12">
        <v>45659</v>
      </c>
      <c r="C13" s="1" t="s">
        <v>49</v>
      </c>
      <c r="D13" s="13" t="s">
        <v>16</v>
      </c>
      <c r="E13" s="1" t="s">
        <v>34</v>
      </c>
      <c r="F13" s="13" t="str">
        <f>VLOOKUP(E13,'Master Kode'!$B$3:$D$13,2,0)</f>
        <v>PET Hot Washed Flakes</v>
      </c>
      <c r="G13" s="1">
        <v>3175</v>
      </c>
      <c r="H13" s="1" t="s">
        <v>9</v>
      </c>
      <c r="I13" s="12">
        <v>45668</v>
      </c>
      <c r="K13" s="4"/>
      <c r="L13" s="3"/>
      <c r="M13" s="4"/>
      <c r="N13" s="5"/>
      <c r="O13" s="4"/>
      <c r="P13" s="5"/>
      <c r="Q13" s="4"/>
      <c r="R13" s="4"/>
      <c r="T13" s="1"/>
      <c r="U13" s="12"/>
      <c r="V13" s="1"/>
      <c r="W13" s="1"/>
      <c r="X13" s="13"/>
      <c r="Y13" s="1"/>
      <c r="Z13" s="13"/>
      <c r="AA13" s="1"/>
      <c r="AB13" s="1"/>
      <c r="AC13" s="19"/>
      <c r="AD13" s="19"/>
    </row>
    <row r="14" spans="1:30">
      <c r="A14" s="21"/>
      <c r="B14" s="12">
        <v>45660</v>
      </c>
      <c r="C14" s="1" t="s">
        <v>50</v>
      </c>
      <c r="D14" s="13" t="s">
        <v>19</v>
      </c>
      <c r="E14" s="1" t="s">
        <v>7</v>
      </c>
      <c r="F14" s="13" t="str">
        <f>VLOOKUP(E14,'Master Kode'!$B$3:$D$13,2,0)</f>
        <v>PET Clear Flakes</v>
      </c>
      <c r="G14" s="1">
        <v>1875</v>
      </c>
      <c r="H14" s="1" t="s">
        <v>9</v>
      </c>
      <c r="I14" s="12">
        <v>45669</v>
      </c>
      <c r="K14" s="4"/>
      <c r="L14" s="3"/>
      <c r="M14" s="4"/>
      <c r="N14" s="5"/>
      <c r="O14" s="4"/>
      <c r="P14" s="5"/>
      <c r="Q14" s="4"/>
      <c r="R14" s="4"/>
      <c r="T14" s="1"/>
      <c r="U14" s="12"/>
      <c r="V14" s="1"/>
      <c r="W14" s="1"/>
      <c r="X14" s="13"/>
      <c r="Y14" s="1"/>
      <c r="Z14" s="13"/>
      <c r="AA14" s="1"/>
      <c r="AB14" s="1"/>
      <c r="AC14" s="19"/>
      <c r="AD14" s="19"/>
    </row>
    <row r="15" spans="1:30">
      <c r="A15" s="21"/>
      <c r="B15" s="12">
        <v>45661</v>
      </c>
      <c r="C15" s="1" t="s">
        <v>51</v>
      </c>
      <c r="D15" s="13" t="s">
        <v>22</v>
      </c>
      <c r="E15" s="1" t="s">
        <v>11</v>
      </c>
      <c r="F15" s="13" t="str">
        <f>VLOOKUP(E15,'Master Kode'!$B$3:$D$13,2,0)</f>
        <v>PET Blue Flakes</v>
      </c>
      <c r="G15" s="1">
        <v>2250</v>
      </c>
      <c r="H15" s="1" t="s">
        <v>9</v>
      </c>
      <c r="I15" s="12">
        <v>45670</v>
      </c>
      <c r="K15" s="4"/>
      <c r="L15" s="3"/>
      <c r="M15" s="4"/>
      <c r="N15" s="5"/>
      <c r="O15" s="4"/>
      <c r="P15" s="5"/>
      <c r="Q15" s="4"/>
      <c r="R15" s="4"/>
      <c r="T15" s="1"/>
      <c r="U15" s="12"/>
      <c r="V15" s="1"/>
      <c r="W15" s="1"/>
      <c r="X15" s="13"/>
      <c r="Y15" s="1"/>
      <c r="Z15" s="13"/>
      <c r="AA15" s="1"/>
      <c r="AB15" s="1"/>
      <c r="AC15" s="19"/>
      <c r="AD15" s="19"/>
    </row>
    <row r="16" spans="1:30">
      <c r="A16" s="21"/>
      <c r="B16" s="12">
        <v>45662</v>
      </c>
      <c r="C16" s="1" t="s">
        <v>52</v>
      </c>
      <c r="D16" s="13" t="s">
        <v>25</v>
      </c>
      <c r="E16" s="1" t="s">
        <v>14</v>
      </c>
      <c r="F16" s="13" t="str">
        <f>VLOOKUP(E16,'Master Kode'!$B$3:$D$13,2,0)</f>
        <v>HDPE Natural Flakes</v>
      </c>
      <c r="G16" s="1">
        <v>1650</v>
      </c>
      <c r="H16" s="1" t="s">
        <v>9</v>
      </c>
      <c r="I16" s="12">
        <v>45671</v>
      </c>
      <c r="K16" s="4"/>
      <c r="L16" s="3"/>
      <c r="M16" s="4"/>
      <c r="N16" s="5"/>
      <c r="O16" s="4"/>
      <c r="P16" s="5"/>
      <c r="Q16" s="4"/>
      <c r="R16" s="4"/>
      <c r="T16" s="1"/>
      <c r="U16" s="12"/>
      <c r="V16" s="1"/>
      <c r="W16" s="1"/>
      <c r="X16" s="13"/>
      <c r="Y16" s="1"/>
      <c r="Z16" s="13"/>
      <c r="AA16" s="1"/>
      <c r="AB16" s="1"/>
      <c r="AC16" s="19"/>
      <c r="AD16" s="19"/>
    </row>
    <row r="17" spans="1:30">
      <c r="A17" s="21"/>
      <c r="B17" s="12">
        <v>45663</v>
      </c>
      <c r="C17" s="1" t="s">
        <v>53</v>
      </c>
      <c r="D17" s="13" t="s">
        <v>6</v>
      </c>
      <c r="E17" s="1" t="s">
        <v>17</v>
      </c>
      <c r="F17" s="13" t="str">
        <f>VLOOKUP(E17,'Master Kode'!$B$3:$D$13,2,0)</f>
        <v>HDPE Mixed Color Flakes</v>
      </c>
      <c r="G17" s="1">
        <v>2890</v>
      </c>
      <c r="H17" s="1" t="s">
        <v>9</v>
      </c>
      <c r="I17" s="12">
        <v>45672</v>
      </c>
      <c r="K17" s="4"/>
      <c r="L17" s="3"/>
      <c r="M17" s="4"/>
      <c r="N17" s="5"/>
      <c r="O17" s="4"/>
      <c r="P17" s="5"/>
      <c r="Q17" s="4"/>
      <c r="R17" s="4"/>
      <c r="T17" s="1"/>
      <c r="U17" s="12"/>
      <c r="V17" s="1"/>
      <c r="W17" s="1"/>
      <c r="X17" s="13"/>
      <c r="Y17" s="1"/>
      <c r="Z17" s="13"/>
      <c r="AA17" s="1"/>
      <c r="AB17" s="1"/>
      <c r="AC17" s="19"/>
      <c r="AD17" s="19"/>
    </row>
    <row r="18" spans="1:30">
      <c r="A18" s="21"/>
      <c r="B18" s="12">
        <v>45664</v>
      </c>
      <c r="C18" s="1" t="s">
        <v>54</v>
      </c>
      <c r="D18" s="13" t="s">
        <v>10</v>
      </c>
      <c r="E18" s="1" t="s">
        <v>20</v>
      </c>
      <c r="F18" s="13" t="str">
        <f>VLOOKUP(E18,'Master Kode'!$B$3:$D$13,2,0)</f>
        <v>PP Injection Flakes</v>
      </c>
      <c r="G18" s="1">
        <v>3200</v>
      </c>
      <c r="H18" s="1" t="s">
        <v>9</v>
      </c>
      <c r="I18" s="12">
        <v>45673</v>
      </c>
      <c r="K18" s="4"/>
      <c r="L18" s="3"/>
      <c r="M18" s="4"/>
      <c r="N18" s="5"/>
      <c r="O18" s="4"/>
      <c r="P18" s="5"/>
      <c r="Q18" s="4"/>
      <c r="R18" s="4"/>
      <c r="T18" s="1"/>
      <c r="U18" s="12"/>
      <c r="V18" s="1"/>
      <c r="W18" s="1"/>
      <c r="X18" s="13"/>
      <c r="Y18" s="1"/>
      <c r="Z18" s="13"/>
      <c r="AA18" s="1"/>
      <c r="AB18" s="1"/>
      <c r="AC18" s="19"/>
      <c r="AD18" s="19"/>
    </row>
    <row r="19" spans="1:30">
      <c r="A19" s="21"/>
      <c r="B19" s="12">
        <v>45665</v>
      </c>
      <c r="C19" s="1" t="s">
        <v>55</v>
      </c>
      <c r="D19" s="13" t="s">
        <v>13</v>
      </c>
      <c r="E19" s="1" t="s">
        <v>23</v>
      </c>
      <c r="F19" s="13" t="str">
        <f>VLOOKUP(E19,'Master Kode'!$B$3:$D$13,2,0)</f>
        <v>PET Green Flakes</v>
      </c>
      <c r="G19" s="1">
        <v>1425</v>
      </c>
      <c r="H19" s="1" t="s">
        <v>9</v>
      </c>
      <c r="I19" s="12">
        <v>45674</v>
      </c>
      <c r="K19" s="4"/>
      <c r="L19" s="3"/>
      <c r="M19" s="4"/>
      <c r="N19" s="5"/>
      <c r="O19" s="4"/>
      <c r="P19" s="5"/>
      <c r="Q19" s="4"/>
      <c r="R19" s="4"/>
      <c r="T19" s="1"/>
      <c r="U19" s="12"/>
      <c r="V19" s="1"/>
      <c r="W19" s="1"/>
      <c r="X19" s="13"/>
      <c r="Y19" s="1"/>
      <c r="Z19" s="13"/>
      <c r="AA19" s="1"/>
      <c r="AB19" s="1"/>
      <c r="AC19" s="19"/>
      <c r="AD19" s="19"/>
    </row>
    <row r="20" spans="1:30">
      <c r="A20" s="21"/>
      <c r="B20" s="12">
        <v>45666</v>
      </c>
      <c r="C20" s="1" t="s">
        <v>56</v>
      </c>
      <c r="D20" s="13" t="s">
        <v>16</v>
      </c>
      <c r="E20" s="1" t="s">
        <v>26</v>
      </c>
      <c r="F20" s="13" t="str">
        <f>VLOOKUP(E20,'Master Kode'!$B$3:$D$13,2,0)</f>
        <v>HDPE Blue Drum Flakes</v>
      </c>
      <c r="G20" s="1">
        <v>2780</v>
      </c>
      <c r="H20" s="1" t="s">
        <v>9</v>
      </c>
      <c r="I20" s="12">
        <v>45675</v>
      </c>
      <c r="K20" s="4"/>
      <c r="L20" s="3"/>
      <c r="M20" s="4"/>
      <c r="N20" s="5"/>
      <c r="O20" s="4"/>
      <c r="P20" s="5"/>
      <c r="Q20" s="4"/>
      <c r="R20" s="4"/>
      <c r="T20" s="1"/>
      <c r="U20" s="12"/>
      <c r="V20" s="1"/>
      <c r="W20" s="1"/>
      <c r="X20" s="13"/>
      <c r="Y20" s="1"/>
      <c r="Z20" s="13"/>
      <c r="AA20" s="1"/>
      <c r="AB20" s="1"/>
      <c r="AC20" s="19"/>
      <c r="AD20" s="19"/>
    </row>
    <row r="21" spans="1:30">
      <c r="A21" s="21"/>
      <c r="B21" s="12">
        <v>45667</v>
      </c>
      <c r="C21" s="1" t="s">
        <v>57</v>
      </c>
      <c r="D21" s="13" t="s">
        <v>19</v>
      </c>
      <c r="E21" s="1" t="s">
        <v>28</v>
      </c>
      <c r="F21" s="13" t="str">
        <f>VLOOKUP(E21,'Master Kode'!$B$3:$D$13,2,0)</f>
        <v>PET Mixed Color Flakes</v>
      </c>
      <c r="G21" s="1">
        <v>3340</v>
      </c>
      <c r="H21" s="1" t="s">
        <v>9</v>
      </c>
      <c r="I21" s="12">
        <v>45676</v>
      </c>
      <c r="K21" s="4"/>
      <c r="L21" s="3"/>
      <c r="M21" s="4"/>
      <c r="N21" s="5"/>
      <c r="O21" s="4"/>
      <c r="P21" s="5"/>
      <c r="Q21" s="4"/>
      <c r="R21" s="4"/>
      <c r="T21" s="1"/>
      <c r="U21" s="12"/>
      <c r="V21" s="1"/>
      <c r="W21" s="1"/>
      <c r="X21" s="13"/>
      <c r="Y21" s="1"/>
      <c r="Z21" s="13"/>
      <c r="AA21" s="1"/>
      <c r="AB21" s="1"/>
      <c r="AC21" s="19"/>
      <c r="AD21" s="19"/>
    </row>
    <row r="22" spans="1:30">
      <c r="A22" s="21"/>
      <c r="B22" s="12">
        <v>45668</v>
      </c>
      <c r="C22" s="1" t="s">
        <v>58</v>
      </c>
      <c r="D22" s="13" t="s">
        <v>22</v>
      </c>
      <c r="E22" s="1" t="s">
        <v>30</v>
      </c>
      <c r="F22" s="13" t="str">
        <f>VLOOKUP(E22,'Master Kode'!$B$3:$D$13,2,0)</f>
        <v>PP White Flakes</v>
      </c>
      <c r="G22" s="1">
        <v>2450</v>
      </c>
      <c r="H22" s="1" t="s">
        <v>9</v>
      </c>
      <c r="I22" s="12">
        <v>45677</v>
      </c>
      <c r="K22" s="4"/>
      <c r="L22" s="3"/>
      <c r="M22" s="4"/>
      <c r="N22" s="5"/>
      <c r="O22" s="4"/>
      <c r="P22" s="5"/>
      <c r="Q22" s="4"/>
      <c r="R22" s="4"/>
      <c r="T22" s="1"/>
      <c r="U22" s="12"/>
      <c r="V22" s="1"/>
      <c r="W22" s="1"/>
      <c r="X22" s="13"/>
      <c r="Y22" s="1"/>
      <c r="Z22" s="13"/>
      <c r="AA22" s="1"/>
      <c r="AB22" s="1"/>
      <c r="AC22" s="19"/>
      <c r="AD22" s="19"/>
    </row>
    <row r="23" spans="1:30">
      <c r="A23" s="21"/>
      <c r="B23" s="12">
        <v>45670</v>
      </c>
      <c r="C23" s="1" t="s">
        <v>59</v>
      </c>
      <c r="D23" s="13" t="s">
        <v>25</v>
      </c>
      <c r="E23" s="1" t="s">
        <v>32</v>
      </c>
      <c r="F23" s="13" t="str">
        <f>VLOOKUP(E23,'Master Kode'!$B$3:$D$13,2,0)</f>
        <v>HDPE Bottle Cap Flakes</v>
      </c>
      <c r="G23" s="1">
        <v>1870</v>
      </c>
      <c r="H23" s="1" t="s">
        <v>9</v>
      </c>
      <c r="I23" s="12">
        <v>45679</v>
      </c>
      <c r="K23" s="4"/>
      <c r="L23" s="3"/>
      <c r="M23" s="4"/>
      <c r="N23" s="5"/>
      <c r="O23" s="4"/>
      <c r="P23" s="5"/>
      <c r="Q23" s="4"/>
      <c r="R23" s="4"/>
      <c r="T23" s="1"/>
      <c r="U23" s="12"/>
      <c r="V23" s="1"/>
      <c r="W23" s="1"/>
      <c r="X23" s="13"/>
      <c r="Y23" s="1"/>
      <c r="Z23" s="13"/>
      <c r="AA23" s="1"/>
      <c r="AB23" s="1"/>
      <c r="AC23" s="19"/>
      <c r="AD23" s="19"/>
    </row>
    <row r="24" spans="1:30">
      <c r="A24" s="21"/>
      <c r="B24" s="12">
        <v>45672</v>
      </c>
      <c r="C24" s="1" t="s">
        <v>60</v>
      </c>
      <c r="D24" s="13" t="s">
        <v>6</v>
      </c>
      <c r="E24" s="1" t="s">
        <v>34</v>
      </c>
      <c r="F24" s="13" t="str">
        <f>VLOOKUP(E24,'Master Kode'!$B$3:$D$13,2,0)</f>
        <v>PET Hot Washed Flakes</v>
      </c>
      <c r="G24" s="1">
        <v>2990</v>
      </c>
      <c r="H24" s="1" t="s">
        <v>9</v>
      </c>
      <c r="I24" s="12">
        <v>45681</v>
      </c>
      <c r="K24" s="4"/>
      <c r="L24" s="3"/>
      <c r="M24" s="4"/>
      <c r="N24" s="5"/>
      <c r="O24" s="4"/>
      <c r="P24" s="5"/>
      <c r="Q24" s="4"/>
      <c r="R24" s="4"/>
      <c r="T24" s="1"/>
      <c r="U24" s="12"/>
      <c r="V24" s="1"/>
      <c r="W24" s="1"/>
      <c r="X24" s="13"/>
      <c r="Y24" s="1"/>
      <c r="Z24" s="13"/>
      <c r="AA24" s="1"/>
      <c r="AB24" s="1"/>
      <c r="AC24" s="19"/>
      <c r="AD24" s="19"/>
    </row>
    <row r="25" spans="1:30">
      <c r="A25" s="21"/>
      <c r="B25" s="12">
        <v>45675</v>
      </c>
      <c r="C25" s="1" t="s">
        <v>61</v>
      </c>
      <c r="D25" s="13" t="s">
        <v>10</v>
      </c>
      <c r="E25" s="1" t="s">
        <v>11</v>
      </c>
      <c r="F25" s="13" t="str">
        <f>VLOOKUP(E25,'Master Kode'!$B$3:$D$13,2,0)</f>
        <v>PET Blue Flakes</v>
      </c>
      <c r="G25" s="1">
        <v>2150</v>
      </c>
      <c r="H25" s="1" t="s">
        <v>9</v>
      </c>
      <c r="I25" s="12">
        <v>45683</v>
      </c>
      <c r="K25" s="4"/>
      <c r="L25" s="3"/>
      <c r="M25" s="4"/>
      <c r="N25" s="5"/>
      <c r="O25" s="4"/>
      <c r="P25" s="5"/>
      <c r="Q25" s="4"/>
      <c r="R25" s="4"/>
      <c r="T25" s="1"/>
      <c r="U25" s="12"/>
      <c r="V25" s="1"/>
      <c r="W25" s="1"/>
      <c r="X25" s="13"/>
      <c r="Y25" s="1"/>
      <c r="Z25" s="13"/>
      <c r="AA25" s="1"/>
      <c r="AB25" s="1"/>
      <c r="AC25" s="19"/>
      <c r="AD25" s="19"/>
    </row>
    <row r="26" spans="1:30">
      <c r="A26" s="21"/>
      <c r="B26" s="12">
        <v>45678</v>
      </c>
      <c r="C26" s="1" t="s">
        <v>62</v>
      </c>
      <c r="D26" s="13" t="s">
        <v>13</v>
      </c>
      <c r="E26" s="1" t="s">
        <v>14</v>
      </c>
      <c r="F26" s="13" t="str">
        <f>VLOOKUP(E26,'Master Kode'!$B$3:$D$13,2,0)</f>
        <v>HDPE Natural Flakes</v>
      </c>
      <c r="G26" s="1">
        <v>1980</v>
      </c>
      <c r="H26" s="1" t="s">
        <v>9</v>
      </c>
      <c r="I26" s="12">
        <v>45686</v>
      </c>
      <c r="K26" s="4"/>
      <c r="L26" s="3"/>
      <c r="M26" s="4"/>
      <c r="N26" s="5"/>
      <c r="O26" s="4"/>
      <c r="P26" s="5"/>
      <c r="Q26" s="4"/>
      <c r="R26" s="4"/>
      <c r="T26" s="1"/>
      <c r="U26" s="12"/>
      <c r="V26" s="1"/>
      <c r="W26" s="1"/>
      <c r="X26" s="13"/>
      <c r="Y26" s="1"/>
      <c r="Z26" s="13"/>
      <c r="AA26" s="1"/>
      <c r="AB26" s="1"/>
      <c r="AC26" s="19"/>
      <c r="AD26" s="19"/>
    </row>
    <row r="27" spans="1:30">
      <c r="A27" s="21"/>
      <c r="B27" s="12">
        <v>45681</v>
      </c>
      <c r="C27" s="1" t="s">
        <v>63</v>
      </c>
      <c r="D27" s="13" t="s">
        <v>16</v>
      </c>
      <c r="E27" s="1" t="s">
        <v>17</v>
      </c>
      <c r="F27" s="13" t="str">
        <f>VLOOKUP(E27,'Master Kode'!$B$3:$D$13,2,0)</f>
        <v>HDPE Mixed Color Flakes</v>
      </c>
      <c r="G27" s="1">
        <v>3100</v>
      </c>
      <c r="H27" s="1" t="s">
        <v>9</v>
      </c>
      <c r="I27" s="12">
        <v>45689</v>
      </c>
      <c r="K27" s="4"/>
      <c r="L27" s="3"/>
      <c r="M27" s="4"/>
      <c r="N27" s="5"/>
      <c r="O27" s="4"/>
      <c r="P27" s="5"/>
      <c r="Q27" s="4"/>
      <c r="R27" s="4"/>
      <c r="T27" s="1"/>
      <c r="U27" s="12"/>
      <c r="V27" s="1"/>
      <c r="W27" s="1"/>
      <c r="X27" s="13"/>
      <c r="Y27" s="1"/>
      <c r="Z27" s="13"/>
      <c r="AA27" s="1"/>
      <c r="AB27" s="1"/>
      <c r="AC27" s="19"/>
      <c r="AD27" s="19"/>
    </row>
    <row r="28" spans="1:30">
      <c r="A28" s="21"/>
      <c r="B28" s="12">
        <v>45684</v>
      </c>
      <c r="C28" s="1" t="s">
        <v>64</v>
      </c>
      <c r="D28" s="13" t="s">
        <v>6</v>
      </c>
      <c r="E28" s="1" t="s">
        <v>7</v>
      </c>
      <c r="F28" s="13" t="str">
        <f>VLOOKUP(E28,'Master Kode'!$B$3:$D$13,2,0)</f>
        <v>PET Clear Flakes</v>
      </c>
      <c r="G28" s="1">
        <v>2400</v>
      </c>
      <c r="H28" s="1" t="s">
        <v>9</v>
      </c>
      <c r="I28" s="12">
        <v>45691</v>
      </c>
      <c r="K28" s="4"/>
      <c r="L28" s="3"/>
      <c r="M28" s="4"/>
      <c r="N28" s="5"/>
      <c r="O28" s="4"/>
      <c r="P28" s="5"/>
      <c r="Q28" s="4"/>
      <c r="R28" s="4"/>
      <c r="T28" s="4"/>
      <c r="U28" s="12"/>
      <c r="V28" s="4"/>
      <c r="W28" s="4"/>
      <c r="X28" s="5"/>
      <c r="Y28" s="4"/>
      <c r="Z28" s="5"/>
      <c r="AA28" s="4"/>
      <c r="AB28" s="4"/>
      <c r="AC28" s="19"/>
      <c r="AD28" s="19"/>
    </row>
    <row r="29" spans="1:30">
      <c r="A29" s="21"/>
      <c r="B29" s="12">
        <v>45684</v>
      </c>
      <c r="C29" s="1" t="s">
        <v>65</v>
      </c>
      <c r="D29" s="13" t="s">
        <v>10</v>
      </c>
      <c r="E29" s="1" t="s">
        <v>14</v>
      </c>
      <c r="F29" s="13" t="str">
        <f>VLOOKUP(E29,'Master Kode'!$B$3:$D$13,2,0)</f>
        <v>HDPE Natural Flakes</v>
      </c>
      <c r="G29" s="1">
        <v>1850</v>
      </c>
      <c r="H29" s="1" t="s">
        <v>9</v>
      </c>
      <c r="I29" s="12">
        <v>45692</v>
      </c>
      <c r="K29" s="4"/>
      <c r="L29" s="3"/>
      <c r="M29" s="4"/>
      <c r="N29" s="5"/>
      <c r="O29" s="4"/>
      <c r="P29" s="5"/>
      <c r="Q29" s="4"/>
      <c r="R29" s="4"/>
      <c r="T29" s="4"/>
      <c r="U29" s="12"/>
      <c r="V29" s="4"/>
      <c r="W29" s="4"/>
      <c r="X29" s="5"/>
      <c r="Y29" s="4"/>
      <c r="Z29" s="5"/>
      <c r="AA29" s="4"/>
      <c r="AB29" s="4"/>
      <c r="AC29" s="19"/>
      <c r="AD29" s="19"/>
    </row>
    <row r="30" spans="1:30">
      <c r="A30" s="21"/>
      <c r="B30" s="12">
        <v>45684</v>
      </c>
      <c r="C30" s="1" t="s">
        <v>66</v>
      </c>
      <c r="D30" s="13" t="s">
        <v>16</v>
      </c>
      <c r="E30" s="1" t="s">
        <v>11</v>
      </c>
      <c r="F30" s="13" t="str">
        <f>VLOOKUP(E30,'Master Kode'!$B$3:$D$13,2,0)</f>
        <v>PET Blue Flakes</v>
      </c>
      <c r="G30" s="1">
        <v>3150</v>
      </c>
      <c r="H30" s="1" t="s">
        <v>9</v>
      </c>
      <c r="I30" s="12">
        <v>45693</v>
      </c>
      <c r="K30" s="4"/>
      <c r="L30" s="3"/>
      <c r="M30" s="4"/>
      <c r="N30" s="5"/>
      <c r="O30" s="4"/>
      <c r="P30" s="5"/>
      <c r="Q30" s="4"/>
      <c r="R30" s="4"/>
      <c r="T30" s="4"/>
      <c r="U30" s="12"/>
      <c r="V30" s="4"/>
      <c r="W30" s="4"/>
      <c r="X30" s="5"/>
      <c r="Y30" s="4"/>
      <c r="Z30" s="5"/>
      <c r="AA30" s="4"/>
      <c r="AB30" s="4"/>
      <c r="AC30" s="19"/>
      <c r="AD30" s="19"/>
    </row>
    <row r="31" spans="1:30">
      <c r="A31" s="21"/>
      <c r="B31" s="12">
        <v>45685</v>
      </c>
      <c r="C31" s="1" t="s">
        <v>67</v>
      </c>
      <c r="D31" s="13" t="s">
        <v>19</v>
      </c>
      <c r="E31" s="1" t="s">
        <v>20</v>
      </c>
      <c r="F31" s="13" t="str">
        <f>VLOOKUP(E31,'Master Kode'!$B$3:$D$13,2,0)</f>
        <v>PP Injection Flakes</v>
      </c>
      <c r="G31" s="1">
        <v>2950</v>
      </c>
      <c r="H31" s="1" t="s">
        <v>9</v>
      </c>
      <c r="I31" s="12">
        <v>45693</v>
      </c>
      <c r="K31" s="4"/>
      <c r="L31" s="3"/>
      <c r="M31" s="4"/>
      <c r="N31" s="5"/>
      <c r="O31" s="4"/>
      <c r="P31" s="5"/>
      <c r="Q31" s="4"/>
      <c r="R31" s="4"/>
      <c r="T31" s="4"/>
      <c r="U31" s="12"/>
      <c r="V31" s="4"/>
      <c r="W31" s="4"/>
      <c r="X31" s="5"/>
      <c r="Y31" s="4"/>
      <c r="Z31" s="5"/>
      <c r="AA31" s="4"/>
      <c r="AB31" s="4"/>
      <c r="AC31" s="19"/>
      <c r="AD31" s="19"/>
    </row>
    <row r="32" spans="1:30">
      <c r="A32" s="21"/>
      <c r="B32" s="12">
        <v>45685</v>
      </c>
      <c r="C32" s="1" t="s">
        <v>68</v>
      </c>
      <c r="D32" s="13" t="s">
        <v>22</v>
      </c>
      <c r="E32" s="1" t="s">
        <v>23</v>
      </c>
      <c r="F32" s="13" t="str">
        <f>VLOOKUP(E32,'Master Kode'!$B$3:$D$13,2,0)</f>
        <v>PET Green Flakes</v>
      </c>
      <c r="G32" s="1">
        <v>1700</v>
      </c>
      <c r="H32" s="1" t="s">
        <v>9</v>
      </c>
      <c r="I32" s="12">
        <v>45694</v>
      </c>
      <c r="K32" s="4"/>
      <c r="L32" s="3"/>
      <c r="M32" s="4"/>
      <c r="N32" s="5"/>
      <c r="O32" s="4"/>
      <c r="P32" s="5"/>
      <c r="Q32" s="4"/>
      <c r="R32" s="4"/>
      <c r="T32" s="4"/>
      <c r="U32" s="12"/>
      <c r="V32" s="4"/>
      <c r="W32" s="4"/>
      <c r="X32" s="5"/>
      <c r="Y32" s="4"/>
      <c r="Z32" s="5"/>
      <c r="AA32" s="4"/>
      <c r="AB32" s="4"/>
      <c r="AC32" s="19"/>
      <c r="AD32" s="19"/>
    </row>
    <row r="33" spans="1:30">
      <c r="A33" s="21"/>
      <c r="B33" s="12">
        <v>45686</v>
      </c>
      <c r="C33" s="1" t="s">
        <v>69</v>
      </c>
      <c r="D33" s="13" t="s">
        <v>13</v>
      </c>
      <c r="E33" s="1" t="s">
        <v>17</v>
      </c>
      <c r="F33" s="13" t="str">
        <f>VLOOKUP(E33,'Master Kode'!$B$3:$D$13,2,0)</f>
        <v>HDPE Mixed Color Flakes</v>
      </c>
      <c r="G33" s="1">
        <v>2650</v>
      </c>
      <c r="H33" s="1" t="s">
        <v>9</v>
      </c>
      <c r="I33" s="12">
        <v>45694</v>
      </c>
      <c r="K33" s="4"/>
      <c r="L33" s="3"/>
      <c r="M33" s="4"/>
      <c r="N33" s="5"/>
      <c r="O33" s="4"/>
      <c r="P33" s="5"/>
      <c r="Q33" s="4"/>
      <c r="R33" s="4"/>
      <c r="T33" s="4"/>
      <c r="U33" s="12"/>
      <c r="V33" s="4"/>
      <c r="W33" s="4"/>
      <c r="X33" s="5"/>
      <c r="Y33" s="4"/>
      <c r="Z33" s="5"/>
      <c r="AA33" s="4"/>
      <c r="AB33" s="4"/>
      <c r="AC33" s="19"/>
      <c r="AD33" s="19"/>
    </row>
    <row r="34" spans="1:30">
      <c r="A34" s="21"/>
      <c r="B34" s="12">
        <v>45686</v>
      </c>
      <c r="C34" s="1" t="s">
        <v>70</v>
      </c>
      <c r="D34" s="13" t="s">
        <v>25</v>
      </c>
      <c r="E34" s="1" t="s">
        <v>26</v>
      </c>
      <c r="F34" s="13" t="str">
        <f>VLOOKUP(E34,'Master Kode'!$B$3:$D$13,2,0)</f>
        <v>HDPE Blue Drum Flakes</v>
      </c>
      <c r="G34" s="1">
        <v>1425</v>
      </c>
      <c r="H34" s="1" t="s">
        <v>9</v>
      </c>
      <c r="I34" s="12">
        <v>45695</v>
      </c>
      <c r="K34" s="4"/>
      <c r="L34" s="3"/>
      <c r="M34" s="4"/>
      <c r="N34" s="5"/>
      <c r="O34" s="4"/>
      <c r="P34" s="5"/>
      <c r="Q34" s="4"/>
      <c r="R34" s="4"/>
      <c r="T34" s="4"/>
      <c r="U34" s="12"/>
      <c r="V34" s="4"/>
      <c r="W34" s="4"/>
      <c r="X34" s="5"/>
      <c r="Y34" s="4"/>
      <c r="Z34" s="5"/>
      <c r="AA34" s="4"/>
      <c r="AB34" s="4"/>
      <c r="AC34" s="19"/>
      <c r="AD34" s="19"/>
    </row>
    <row r="35" spans="1:30">
      <c r="A35" s="21"/>
      <c r="B35" s="12">
        <v>45687</v>
      </c>
      <c r="C35" s="1" t="s">
        <v>71</v>
      </c>
      <c r="D35" s="13" t="s">
        <v>10</v>
      </c>
      <c r="E35" s="1" t="s">
        <v>28</v>
      </c>
      <c r="F35" s="13" t="str">
        <f>VLOOKUP(E35,'Master Kode'!$B$3:$D$13,2,0)</f>
        <v>PET Mixed Color Flakes</v>
      </c>
      <c r="G35" s="1">
        <v>3350</v>
      </c>
      <c r="H35" s="1" t="s">
        <v>9</v>
      </c>
      <c r="I35" s="12">
        <v>45695</v>
      </c>
      <c r="K35" s="4"/>
      <c r="L35" s="3"/>
      <c r="M35" s="4"/>
      <c r="N35" s="5"/>
      <c r="O35" s="4"/>
      <c r="P35" s="5"/>
      <c r="Q35" s="4"/>
      <c r="R35" s="4"/>
      <c r="T35" s="4"/>
      <c r="U35" s="12"/>
      <c r="V35" s="4"/>
      <c r="W35" s="4"/>
      <c r="X35" s="5"/>
      <c r="Y35" s="4"/>
      <c r="Z35" s="5"/>
      <c r="AA35" s="4"/>
      <c r="AB35" s="4"/>
      <c r="AC35" s="19"/>
      <c r="AD35" s="19"/>
    </row>
    <row r="36" spans="1:30">
      <c r="A36" s="21"/>
      <c r="B36" s="12">
        <v>45687</v>
      </c>
      <c r="C36" s="1" t="s">
        <v>72</v>
      </c>
      <c r="D36" s="13" t="s">
        <v>6</v>
      </c>
      <c r="E36" s="1" t="s">
        <v>7</v>
      </c>
      <c r="F36" s="13" t="str">
        <f>VLOOKUP(E36,'Master Kode'!$B$3:$D$13,2,0)</f>
        <v>PET Clear Flakes</v>
      </c>
      <c r="G36" s="1">
        <v>2100</v>
      </c>
      <c r="H36" s="1" t="s">
        <v>9</v>
      </c>
      <c r="I36" s="12">
        <v>45696</v>
      </c>
      <c r="K36" s="4"/>
      <c r="L36" s="3"/>
      <c r="M36" s="4"/>
      <c r="N36" s="5"/>
      <c r="O36" s="4"/>
      <c r="P36" s="5"/>
      <c r="Q36" s="4"/>
      <c r="R36" s="4"/>
      <c r="T36" s="4"/>
      <c r="U36" s="12"/>
      <c r="V36" s="4"/>
      <c r="W36" s="4"/>
      <c r="X36" s="5"/>
      <c r="Y36" s="4"/>
      <c r="Z36" s="5"/>
      <c r="AA36" s="4"/>
      <c r="AB36" s="4"/>
      <c r="AC36" s="19"/>
      <c r="AD36" s="19"/>
    </row>
    <row r="37" spans="1:30">
      <c r="A37" s="21"/>
      <c r="B37" s="12">
        <v>45688</v>
      </c>
      <c r="C37" s="1" t="s">
        <v>73</v>
      </c>
      <c r="D37" s="13" t="s">
        <v>16</v>
      </c>
      <c r="E37" s="1" t="s">
        <v>34</v>
      </c>
      <c r="F37" s="13" t="str">
        <f>VLOOKUP(E37,'Master Kode'!$B$3:$D$13,2,0)</f>
        <v>PET Hot Washed Flakes</v>
      </c>
      <c r="G37" s="1">
        <v>3900</v>
      </c>
      <c r="H37" s="1" t="s">
        <v>9</v>
      </c>
      <c r="I37" s="12">
        <v>45696</v>
      </c>
      <c r="K37" s="4"/>
      <c r="L37" s="3"/>
      <c r="M37" s="4"/>
      <c r="N37" s="5"/>
      <c r="O37" s="4"/>
      <c r="P37" s="5"/>
      <c r="Q37" s="4"/>
      <c r="R37" s="4"/>
      <c r="T37" s="4"/>
      <c r="U37" s="12"/>
      <c r="V37" s="4"/>
      <c r="W37" s="4"/>
      <c r="X37" s="5"/>
      <c r="Y37" s="4"/>
      <c r="Z37" s="5"/>
      <c r="AA37" s="4"/>
      <c r="AB37" s="4"/>
      <c r="AC37" s="19"/>
      <c r="AD37" s="19"/>
    </row>
    <row r="38" spans="1:30">
      <c r="A38" s="21"/>
      <c r="B38" s="12">
        <v>45688</v>
      </c>
      <c r="C38" s="1" t="s">
        <v>74</v>
      </c>
      <c r="D38" s="13" t="s">
        <v>19</v>
      </c>
      <c r="E38" s="1" t="s">
        <v>30</v>
      </c>
      <c r="F38" s="13" t="str">
        <f>VLOOKUP(E38,'Master Kode'!$B$3:$D$13,2,0)</f>
        <v>PP White Flakes</v>
      </c>
      <c r="G38" s="1">
        <v>2500</v>
      </c>
      <c r="H38" s="1" t="s">
        <v>9</v>
      </c>
      <c r="I38" s="12">
        <v>45697</v>
      </c>
      <c r="K38" s="4"/>
      <c r="L38" s="3"/>
      <c r="M38" s="4"/>
      <c r="N38" s="5"/>
      <c r="O38" s="4"/>
      <c r="P38" s="5"/>
      <c r="Q38" s="4"/>
      <c r="R38" s="4"/>
      <c r="T38" s="4"/>
      <c r="U38" s="12"/>
      <c r="V38" s="4"/>
      <c r="W38" s="4"/>
      <c r="X38" s="5"/>
      <c r="Y38" s="4"/>
      <c r="Z38" s="5"/>
      <c r="AA38" s="4"/>
      <c r="AB38" s="4"/>
      <c r="AC38" s="19"/>
      <c r="AD38" s="19"/>
    </row>
    <row r="39" spans="1:30">
      <c r="A39" s="21"/>
      <c r="B39" s="12">
        <v>45689</v>
      </c>
      <c r="C39" s="1" t="s">
        <v>75</v>
      </c>
      <c r="D39" s="13" t="s">
        <v>22</v>
      </c>
      <c r="E39" s="1" t="s">
        <v>14</v>
      </c>
      <c r="F39" s="13" t="str">
        <f>VLOOKUP(E39,'Master Kode'!$B$3:$D$13,2,0)</f>
        <v>HDPE Natural Flakes</v>
      </c>
      <c r="G39" s="1">
        <v>1780</v>
      </c>
      <c r="H39" s="1" t="s">
        <v>9</v>
      </c>
      <c r="I39" s="12">
        <v>45697</v>
      </c>
      <c r="K39" s="4"/>
      <c r="L39" s="3"/>
      <c r="M39" s="4"/>
      <c r="N39" s="5"/>
      <c r="O39" s="4"/>
      <c r="P39" s="5"/>
      <c r="Q39" s="4"/>
      <c r="R39" s="4"/>
      <c r="T39" s="4"/>
      <c r="U39" s="12"/>
      <c r="V39" s="4"/>
      <c r="W39" s="4"/>
      <c r="X39" s="5"/>
      <c r="Y39" s="4"/>
      <c r="Z39" s="5"/>
      <c r="AA39" s="4"/>
      <c r="AB39" s="4"/>
      <c r="AC39" s="19"/>
      <c r="AD39" s="19"/>
    </row>
    <row r="40" spans="1:30">
      <c r="A40" s="21"/>
      <c r="B40" s="12">
        <v>45689</v>
      </c>
      <c r="C40" s="1" t="s">
        <v>76</v>
      </c>
      <c r="D40" s="13" t="s">
        <v>13</v>
      </c>
      <c r="E40" s="1" t="s">
        <v>11</v>
      </c>
      <c r="F40" s="13" t="str">
        <f>VLOOKUP(E40,'Master Kode'!$B$3:$D$13,2,0)</f>
        <v>PET Blue Flakes</v>
      </c>
      <c r="G40" s="1">
        <v>3200</v>
      </c>
      <c r="H40" s="1" t="s">
        <v>9</v>
      </c>
      <c r="I40" s="12">
        <v>45698</v>
      </c>
      <c r="K40" s="4"/>
      <c r="L40" s="3"/>
      <c r="M40" s="4"/>
      <c r="N40" s="5"/>
      <c r="O40" s="4"/>
      <c r="P40" s="5"/>
      <c r="Q40" s="4"/>
      <c r="R40" s="4"/>
      <c r="T40" s="4"/>
      <c r="U40" s="12"/>
      <c r="V40" s="4"/>
      <c r="W40" s="4"/>
      <c r="X40" s="5"/>
      <c r="Y40" s="4"/>
      <c r="Z40" s="5"/>
      <c r="AA40" s="4"/>
      <c r="AB40" s="4"/>
      <c r="AC40" s="19"/>
      <c r="AD40" s="19"/>
    </row>
    <row r="41" spans="1:30">
      <c r="A41" s="21"/>
      <c r="B41" s="12">
        <v>45690</v>
      </c>
      <c r="C41" s="1" t="s">
        <v>77</v>
      </c>
      <c r="D41" s="13" t="s">
        <v>10</v>
      </c>
      <c r="E41" s="1" t="s">
        <v>7</v>
      </c>
      <c r="F41" s="13" t="str">
        <f>VLOOKUP(E41,'Master Kode'!$B$3:$D$13,2,0)</f>
        <v>PET Clear Flakes</v>
      </c>
      <c r="G41" s="1">
        <v>2980</v>
      </c>
      <c r="H41" s="1" t="s">
        <v>9</v>
      </c>
      <c r="I41" s="12">
        <v>45698</v>
      </c>
      <c r="K41" s="4"/>
      <c r="L41" s="3"/>
      <c r="M41" s="4"/>
      <c r="N41" s="5"/>
      <c r="O41" s="4"/>
      <c r="P41" s="5"/>
      <c r="Q41" s="4"/>
      <c r="R41" s="4"/>
      <c r="T41" s="4"/>
      <c r="U41" s="12"/>
      <c r="V41" s="4"/>
      <c r="W41" s="4"/>
      <c r="X41" s="5"/>
      <c r="Y41" s="4"/>
      <c r="Z41" s="5"/>
      <c r="AA41" s="4"/>
      <c r="AB41" s="4"/>
      <c r="AC41" s="19"/>
      <c r="AD41" s="19"/>
    </row>
    <row r="42" spans="1:30">
      <c r="A42" s="21"/>
      <c r="B42" s="12">
        <v>45690</v>
      </c>
      <c r="C42" s="1" t="s">
        <v>78</v>
      </c>
      <c r="D42" s="13" t="s">
        <v>25</v>
      </c>
      <c r="E42" s="1" t="s">
        <v>17</v>
      </c>
      <c r="F42" s="13" t="str">
        <f>VLOOKUP(E42,'Master Kode'!$B$3:$D$13,2,0)</f>
        <v>HDPE Mixed Color Flakes</v>
      </c>
      <c r="G42" s="1">
        <v>2300</v>
      </c>
      <c r="H42" s="1" t="s">
        <v>9</v>
      </c>
      <c r="I42" s="12">
        <v>45699</v>
      </c>
      <c r="K42" s="4"/>
      <c r="L42" s="3"/>
      <c r="M42" s="4"/>
      <c r="N42" s="5"/>
      <c r="O42" s="4"/>
      <c r="P42" s="5"/>
      <c r="Q42" s="4"/>
      <c r="R42" s="4"/>
      <c r="T42" s="4"/>
      <c r="U42" s="12"/>
      <c r="V42" s="4"/>
      <c r="W42" s="4"/>
      <c r="X42" s="5"/>
      <c r="Y42" s="4"/>
      <c r="Z42" s="5"/>
      <c r="AA42" s="4"/>
      <c r="AB42" s="4"/>
      <c r="AC42" s="19"/>
      <c r="AD42" s="19"/>
    </row>
    <row r="43" spans="1:30">
      <c r="A43" s="21"/>
      <c r="B43" s="12">
        <v>45691</v>
      </c>
      <c r="C43" s="1" t="s">
        <v>79</v>
      </c>
      <c r="D43" s="13" t="s">
        <v>16</v>
      </c>
      <c r="E43" s="1" t="s">
        <v>23</v>
      </c>
      <c r="F43" s="13" t="str">
        <f>VLOOKUP(E43,'Master Kode'!$B$3:$D$13,2,0)</f>
        <v>PET Green Flakes</v>
      </c>
      <c r="G43" s="1">
        <v>3100</v>
      </c>
      <c r="H43" s="1" t="s">
        <v>9</v>
      </c>
      <c r="I43" s="12">
        <v>45699</v>
      </c>
      <c r="K43" s="4"/>
      <c r="L43" s="3"/>
      <c r="M43" s="4"/>
      <c r="N43" s="5"/>
      <c r="O43" s="4"/>
      <c r="P43" s="5"/>
      <c r="Q43" s="4"/>
      <c r="R43" s="4"/>
      <c r="T43" s="4"/>
      <c r="U43" s="12"/>
      <c r="V43" s="4"/>
      <c r="W43" s="4"/>
      <c r="X43" s="5"/>
      <c r="Y43" s="4"/>
      <c r="Z43" s="5"/>
      <c r="AA43" s="4"/>
      <c r="AB43" s="4"/>
      <c r="AC43" s="19"/>
      <c r="AD43" s="19"/>
    </row>
    <row r="44" spans="1:30">
      <c r="A44" s="21"/>
      <c r="B44" s="12">
        <v>45691</v>
      </c>
      <c r="C44" s="1" t="s">
        <v>80</v>
      </c>
      <c r="D44" s="13" t="s">
        <v>6</v>
      </c>
      <c r="E44" s="1" t="s">
        <v>32</v>
      </c>
      <c r="F44" s="13" t="str">
        <f>VLOOKUP(E44,'Master Kode'!$B$3:$D$13,2,0)</f>
        <v>HDPE Bottle Cap Flakes</v>
      </c>
      <c r="G44" s="1">
        <v>1600</v>
      </c>
      <c r="H44" s="1" t="s">
        <v>9</v>
      </c>
      <c r="I44" s="12">
        <v>45700</v>
      </c>
      <c r="K44" s="4"/>
      <c r="L44" s="3"/>
      <c r="M44" s="4"/>
      <c r="N44" s="5"/>
      <c r="O44" s="4"/>
      <c r="P44" s="5"/>
      <c r="Q44" s="4"/>
      <c r="R44" s="4"/>
      <c r="T44" s="4"/>
      <c r="U44" s="12"/>
      <c r="V44" s="4"/>
      <c r="W44" s="4"/>
      <c r="X44" s="5"/>
      <c r="Y44" s="4"/>
      <c r="Z44" s="5"/>
      <c r="AA44" s="4"/>
      <c r="AB44" s="4"/>
      <c r="AC44" s="19"/>
      <c r="AD44" s="19"/>
    </row>
    <row r="45" spans="1:30">
      <c r="A45" s="21"/>
      <c r="B45" s="12">
        <v>45692</v>
      </c>
      <c r="C45" s="1" t="s">
        <v>81</v>
      </c>
      <c r="D45" s="13" t="s">
        <v>19</v>
      </c>
      <c r="E45" s="1" t="s">
        <v>20</v>
      </c>
      <c r="F45" s="13" t="str">
        <f>VLOOKUP(E45,'Master Kode'!$B$3:$D$13,2,0)</f>
        <v>PP Injection Flakes</v>
      </c>
      <c r="G45" s="1">
        <v>2750</v>
      </c>
      <c r="H45" s="1" t="s">
        <v>9</v>
      </c>
      <c r="I45" s="12">
        <v>45700</v>
      </c>
      <c r="K45" s="4"/>
      <c r="L45" s="3"/>
      <c r="M45" s="4"/>
      <c r="N45" s="5"/>
      <c r="O45" s="4"/>
      <c r="P45" s="5"/>
      <c r="Q45" s="4"/>
      <c r="R45" s="4"/>
      <c r="T45" s="4"/>
      <c r="U45" s="12"/>
      <c r="V45" s="4"/>
      <c r="W45" s="4"/>
      <c r="X45" s="5"/>
      <c r="Y45" s="4"/>
      <c r="Z45" s="5"/>
      <c r="AA45" s="4"/>
      <c r="AB45" s="4"/>
      <c r="AC45" s="19"/>
      <c r="AD45" s="19"/>
    </row>
    <row r="46" spans="1:30">
      <c r="A46" s="21"/>
      <c r="B46" s="12">
        <v>45693</v>
      </c>
      <c r="C46" s="1" t="s">
        <v>82</v>
      </c>
      <c r="D46" s="13" t="s">
        <v>10</v>
      </c>
      <c r="E46" s="1" t="s">
        <v>34</v>
      </c>
      <c r="F46" s="13" t="str">
        <f>VLOOKUP(E46,'Master Kode'!$B$3:$D$13,2,0)</f>
        <v>PET Hot Washed Flakes</v>
      </c>
      <c r="G46" s="1">
        <v>3550</v>
      </c>
      <c r="H46" s="1" t="s">
        <v>9</v>
      </c>
      <c r="I46" s="12">
        <v>45701</v>
      </c>
      <c r="K46" s="4"/>
      <c r="L46" s="3"/>
      <c r="M46" s="4"/>
      <c r="N46" s="5"/>
      <c r="O46" s="4"/>
      <c r="P46" s="5"/>
      <c r="Q46" s="4"/>
      <c r="R46" s="4"/>
      <c r="T46" s="4"/>
      <c r="U46" s="12"/>
      <c r="V46" s="4"/>
      <c r="W46" s="4"/>
      <c r="X46" s="5"/>
      <c r="Y46" s="4"/>
      <c r="Z46" s="5"/>
      <c r="AA46" s="4"/>
      <c r="AB46" s="4"/>
      <c r="AC46" s="19"/>
      <c r="AD46" s="19"/>
    </row>
    <row r="47" spans="1:30">
      <c r="A47" s="21"/>
      <c r="B47" s="12">
        <v>45693</v>
      </c>
      <c r="C47" s="1" t="s">
        <v>83</v>
      </c>
      <c r="D47" s="13" t="s">
        <v>22</v>
      </c>
      <c r="E47" s="1" t="s">
        <v>11</v>
      </c>
      <c r="F47" s="13" t="str">
        <f>VLOOKUP(E47,'Master Kode'!$B$3:$D$13,2,0)</f>
        <v>PET Blue Flakes</v>
      </c>
      <c r="G47" s="1">
        <v>2900</v>
      </c>
      <c r="H47" s="1" t="s">
        <v>9</v>
      </c>
      <c r="I47" s="12">
        <v>45701</v>
      </c>
      <c r="K47" s="4"/>
      <c r="L47" s="3"/>
      <c r="M47" s="4"/>
      <c r="N47" s="5"/>
      <c r="O47" s="4"/>
      <c r="P47" s="5"/>
      <c r="Q47" s="4"/>
      <c r="R47" s="4"/>
      <c r="T47" s="4"/>
      <c r="U47" s="12"/>
      <c r="V47" s="4"/>
      <c r="W47" s="4"/>
      <c r="X47" s="5"/>
      <c r="Y47" s="4"/>
      <c r="Z47" s="5"/>
      <c r="AA47" s="4"/>
      <c r="AB47" s="4"/>
      <c r="AC47" s="19"/>
      <c r="AD47" s="19"/>
    </row>
    <row r="48" spans="1:30">
      <c r="A48" s="21"/>
      <c r="B48" s="12">
        <v>45694</v>
      </c>
      <c r="C48" s="1" t="s">
        <v>84</v>
      </c>
      <c r="D48" s="13" t="s">
        <v>13</v>
      </c>
      <c r="E48" s="1" t="s">
        <v>30</v>
      </c>
      <c r="F48" s="13" t="str">
        <f>VLOOKUP(E48,'Master Kode'!$B$3:$D$13,2,0)</f>
        <v>PP White Flakes</v>
      </c>
      <c r="G48" s="1">
        <v>2600</v>
      </c>
      <c r="H48" s="1" t="s">
        <v>9</v>
      </c>
      <c r="I48" s="12">
        <v>45702</v>
      </c>
      <c r="K48" s="4"/>
      <c r="L48" s="3"/>
      <c r="M48" s="4"/>
      <c r="N48" s="5"/>
      <c r="O48" s="4"/>
      <c r="P48" s="5"/>
      <c r="Q48" s="4"/>
      <c r="R48" s="4"/>
      <c r="T48" s="4"/>
      <c r="U48" s="12"/>
      <c r="V48" s="4"/>
      <c r="W48" s="4"/>
      <c r="X48" s="5"/>
      <c r="Y48" s="4"/>
      <c r="Z48" s="5"/>
      <c r="AA48" s="4"/>
      <c r="AB48" s="4"/>
      <c r="AC48" s="19"/>
      <c r="AD48" s="19"/>
    </row>
    <row r="49" spans="1:30">
      <c r="A49" s="21"/>
      <c r="B49" s="12">
        <v>45695</v>
      </c>
      <c r="C49" s="1" t="s">
        <v>85</v>
      </c>
      <c r="D49" s="13" t="s">
        <v>16</v>
      </c>
      <c r="E49" s="1" t="s">
        <v>17</v>
      </c>
      <c r="F49" s="13" t="str">
        <f>VLOOKUP(E49,'Master Kode'!$B$3:$D$13,2,0)</f>
        <v>HDPE Mixed Color Flakes</v>
      </c>
      <c r="G49" s="1">
        <v>3450</v>
      </c>
      <c r="H49" s="1" t="s">
        <v>9</v>
      </c>
      <c r="I49" s="12">
        <v>45703</v>
      </c>
      <c r="K49" s="4"/>
      <c r="L49" s="3"/>
      <c r="M49" s="4"/>
      <c r="N49" s="5"/>
      <c r="O49" s="4"/>
      <c r="P49" s="5"/>
      <c r="Q49" s="4"/>
      <c r="R49" s="4"/>
      <c r="T49" s="4"/>
      <c r="U49" s="12"/>
      <c r="V49" s="4"/>
      <c r="W49" s="4"/>
      <c r="X49" s="5"/>
      <c r="Y49" s="4"/>
      <c r="Z49" s="5"/>
      <c r="AA49" s="4"/>
      <c r="AB49" s="4"/>
      <c r="AC49" s="19"/>
      <c r="AD49" s="19"/>
    </row>
    <row r="50" spans="1:30">
      <c r="A50" s="21"/>
      <c r="B50" s="12">
        <v>45696</v>
      </c>
      <c r="C50" s="1" t="s">
        <v>86</v>
      </c>
      <c r="D50" s="13" t="s">
        <v>25</v>
      </c>
      <c r="E50" s="1" t="s">
        <v>26</v>
      </c>
      <c r="F50" s="13" t="str">
        <f>VLOOKUP(E50,'Master Kode'!$B$3:$D$13,2,0)</f>
        <v>HDPE Blue Drum Flakes</v>
      </c>
      <c r="G50" s="1">
        <v>1750</v>
      </c>
      <c r="H50" s="1" t="s">
        <v>9</v>
      </c>
      <c r="I50" s="12">
        <v>45704</v>
      </c>
      <c r="K50" s="4"/>
      <c r="L50" s="3"/>
      <c r="M50" s="4"/>
      <c r="N50" s="5"/>
      <c r="O50" s="4"/>
      <c r="P50" s="5"/>
      <c r="Q50" s="4"/>
      <c r="R50" s="4"/>
      <c r="T50" s="4"/>
      <c r="U50" s="12"/>
      <c r="V50" s="4"/>
      <c r="W50" s="4"/>
      <c r="X50" s="5"/>
      <c r="Y50" s="4"/>
      <c r="Z50" s="5"/>
      <c r="AA50" s="4"/>
      <c r="AB50" s="4"/>
      <c r="AC50" s="19"/>
      <c r="AD50" s="19"/>
    </row>
    <row r="51" spans="1:30">
      <c r="A51" s="21"/>
      <c r="B51" s="12">
        <v>45697</v>
      </c>
      <c r="C51" s="1" t="s">
        <v>87</v>
      </c>
      <c r="D51" s="13" t="s">
        <v>19</v>
      </c>
      <c r="E51" s="1" t="s">
        <v>28</v>
      </c>
      <c r="F51" s="13" t="str">
        <f>VLOOKUP(E51,'Master Kode'!$B$3:$D$13,2,0)</f>
        <v>PET Mixed Color Flakes</v>
      </c>
      <c r="G51" s="1">
        <v>3050</v>
      </c>
      <c r="H51" s="1" t="s">
        <v>9</v>
      </c>
      <c r="I51" s="12">
        <v>45705</v>
      </c>
      <c r="K51" s="4"/>
      <c r="L51" s="3"/>
      <c r="M51" s="4"/>
      <c r="N51" s="5"/>
      <c r="O51" s="4"/>
      <c r="P51" s="5"/>
      <c r="Q51" s="4"/>
      <c r="R51" s="4"/>
      <c r="T51" s="4"/>
      <c r="U51" s="12"/>
      <c r="V51" s="4"/>
      <c r="W51" s="4"/>
      <c r="X51" s="5"/>
      <c r="Y51" s="4"/>
      <c r="Z51" s="5"/>
      <c r="AA51" s="4"/>
      <c r="AB51" s="4"/>
      <c r="AC51" s="19"/>
      <c r="AD51" s="19"/>
    </row>
    <row r="52" spans="1:30">
      <c r="A52" s="21"/>
      <c r="B52" s="12">
        <v>45698</v>
      </c>
      <c r="C52" s="1" t="s">
        <v>88</v>
      </c>
      <c r="D52" s="13" t="s">
        <v>6</v>
      </c>
      <c r="E52" s="1" t="s">
        <v>7</v>
      </c>
      <c r="F52" s="13" t="str">
        <f>VLOOKUP(E52,'Master Kode'!$B$3:$D$13,2,0)</f>
        <v>PET Clear Flakes</v>
      </c>
      <c r="G52" s="1">
        <v>2850</v>
      </c>
      <c r="H52" s="1" t="s">
        <v>9</v>
      </c>
      <c r="I52" s="12">
        <v>45706</v>
      </c>
      <c r="K52" s="4"/>
      <c r="L52" s="3"/>
      <c r="M52" s="4"/>
      <c r="N52" s="5"/>
      <c r="O52" s="4"/>
      <c r="P52" s="5"/>
      <c r="Q52" s="4"/>
      <c r="R52" s="4"/>
      <c r="T52" s="4"/>
      <c r="U52" s="12"/>
      <c r="V52" s="4"/>
      <c r="W52" s="4"/>
      <c r="X52" s="5"/>
      <c r="Y52" s="4"/>
      <c r="Z52" s="5"/>
      <c r="AA52" s="4"/>
      <c r="AB52" s="4"/>
      <c r="AC52" s="19"/>
      <c r="AD52" s="19"/>
    </row>
    <row r="53" spans="1:30">
      <c r="A53" s="21"/>
      <c r="B53" s="12">
        <v>45712</v>
      </c>
      <c r="C53" s="1" t="s">
        <v>89</v>
      </c>
      <c r="D53" s="13" t="s">
        <v>6</v>
      </c>
      <c r="E53" s="1" t="s">
        <v>7</v>
      </c>
      <c r="F53" s="13" t="str">
        <f>VLOOKUP(E53,'Master Kode'!$B$3:$D$13,2,0)</f>
        <v>PET Clear Flakes</v>
      </c>
      <c r="G53" s="1">
        <v>2100</v>
      </c>
      <c r="H53" s="1" t="s">
        <v>9</v>
      </c>
      <c r="I53" s="12">
        <v>45719</v>
      </c>
      <c r="K53" s="4"/>
      <c r="L53" s="3"/>
      <c r="M53" s="4"/>
      <c r="N53" s="5"/>
      <c r="O53" s="4"/>
      <c r="P53" s="5"/>
      <c r="Q53" s="4"/>
      <c r="R53" s="4"/>
      <c r="T53" s="4"/>
      <c r="U53" s="12"/>
      <c r="V53" s="4"/>
      <c r="W53" s="4"/>
      <c r="X53" s="5"/>
      <c r="Y53" s="4"/>
      <c r="Z53" s="5"/>
      <c r="AA53" s="4"/>
      <c r="AB53" s="4"/>
      <c r="AC53" s="19"/>
      <c r="AD53" s="19"/>
    </row>
    <row r="54" spans="1:30">
      <c r="A54" s="21"/>
      <c r="B54" s="12">
        <v>45712</v>
      </c>
      <c r="C54" s="1" t="s">
        <v>90</v>
      </c>
      <c r="D54" s="13" t="s">
        <v>10</v>
      </c>
      <c r="E54" s="1" t="s">
        <v>11</v>
      </c>
      <c r="F54" s="13" t="str">
        <f>VLOOKUP(E54,'Master Kode'!$B$3:$D$13,2,0)</f>
        <v>PET Blue Flakes</v>
      </c>
      <c r="G54" s="1">
        <v>3200</v>
      </c>
      <c r="H54" s="1" t="s">
        <v>9</v>
      </c>
      <c r="I54" s="12">
        <v>45720</v>
      </c>
      <c r="K54" s="4"/>
      <c r="L54" s="3"/>
      <c r="M54" s="4"/>
      <c r="N54" s="5"/>
      <c r="O54" s="4"/>
      <c r="P54" s="5"/>
      <c r="Q54" s="4"/>
      <c r="R54" s="4"/>
      <c r="T54" s="4"/>
      <c r="U54" s="12"/>
      <c r="V54" s="4"/>
      <c r="W54" s="4"/>
      <c r="X54" s="5"/>
      <c r="Y54" s="4"/>
      <c r="Z54" s="5"/>
      <c r="AA54" s="4"/>
      <c r="AB54" s="4"/>
      <c r="AC54" s="19"/>
      <c r="AD54" s="19"/>
    </row>
    <row r="55" spans="1:30">
      <c r="A55" s="21"/>
      <c r="B55" s="12">
        <v>45713</v>
      </c>
      <c r="C55" s="1" t="s">
        <v>91</v>
      </c>
      <c r="D55" s="13" t="s">
        <v>13</v>
      </c>
      <c r="E55" s="1" t="s">
        <v>14</v>
      </c>
      <c r="F55" s="13" t="str">
        <f>VLOOKUP(E55,'Master Kode'!$B$3:$D$13,2,0)</f>
        <v>HDPE Natural Flakes</v>
      </c>
      <c r="G55" s="1">
        <v>1850</v>
      </c>
      <c r="H55" s="1" t="s">
        <v>9</v>
      </c>
      <c r="I55" s="12">
        <v>45721</v>
      </c>
      <c r="K55" s="4"/>
      <c r="L55" s="3"/>
      <c r="M55" s="4"/>
      <c r="N55" s="5"/>
      <c r="O55" s="4"/>
      <c r="P55" s="5"/>
      <c r="Q55" s="4"/>
      <c r="R55" s="4"/>
      <c r="T55" s="4"/>
      <c r="U55" s="12"/>
      <c r="V55" s="4"/>
      <c r="W55" s="4"/>
      <c r="X55" s="5"/>
      <c r="Y55" s="4"/>
      <c r="Z55" s="5"/>
      <c r="AA55" s="4"/>
      <c r="AB55" s="4"/>
      <c r="AC55" s="19"/>
      <c r="AD55" s="19"/>
    </row>
    <row r="56" spans="1:30">
      <c r="A56" s="21"/>
      <c r="B56" s="12">
        <v>45714</v>
      </c>
      <c r="C56" s="1" t="s">
        <v>92</v>
      </c>
      <c r="D56" s="13" t="s">
        <v>16</v>
      </c>
      <c r="E56" s="1" t="s">
        <v>17</v>
      </c>
      <c r="F56" s="13" t="str">
        <f>VLOOKUP(E56,'Master Kode'!$B$3:$D$13,2,0)</f>
        <v>HDPE Mixed Color Flakes</v>
      </c>
      <c r="G56" s="1">
        <v>2400</v>
      </c>
      <c r="H56" s="1" t="s">
        <v>9</v>
      </c>
      <c r="I56" s="12">
        <v>45722</v>
      </c>
      <c r="K56" s="4"/>
      <c r="L56" s="3"/>
      <c r="M56" s="4"/>
      <c r="N56" s="5"/>
      <c r="O56" s="4"/>
      <c r="P56" s="5"/>
      <c r="Q56" s="4"/>
      <c r="R56" s="4"/>
      <c r="T56" s="4"/>
      <c r="U56" s="12"/>
      <c r="V56" s="4"/>
      <c r="W56" s="4"/>
      <c r="X56" s="5"/>
      <c r="Y56" s="4"/>
      <c r="Z56" s="5"/>
      <c r="AA56" s="4"/>
      <c r="AB56" s="4"/>
      <c r="AC56" s="19"/>
      <c r="AD56" s="19"/>
    </row>
    <row r="57" spans="1:30">
      <c r="A57" s="21"/>
      <c r="B57" s="12">
        <v>45714</v>
      </c>
      <c r="C57" s="1" t="s">
        <v>93</v>
      </c>
      <c r="D57" s="13" t="s">
        <v>19</v>
      </c>
      <c r="E57" s="1" t="s">
        <v>20</v>
      </c>
      <c r="F57" s="13" t="str">
        <f>VLOOKUP(E57,'Master Kode'!$B$3:$D$13,2,0)</f>
        <v>PP Injection Flakes</v>
      </c>
      <c r="G57" s="1">
        <v>2950</v>
      </c>
      <c r="H57" s="1" t="s">
        <v>9</v>
      </c>
      <c r="I57" s="12">
        <v>45722</v>
      </c>
      <c r="K57" s="4"/>
      <c r="L57" s="3"/>
      <c r="M57" s="4"/>
      <c r="N57" s="5"/>
      <c r="O57" s="4"/>
      <c r="P57" s="5"/>
      <c r="Q57" s="4"/>
      <c r="R57" s="4"/>
      <c r="T57" s="4"/>
      <c r="U57" s="12"/>
      <c r="V57" s="4"/>
      <c r="W57" s="4"/>
      <c r="X57" s="5"/>
      <c r="Y57" s="4"/>
      <c r="Z57" s="5"/>
      <c r="AA57" s="4"/>
      <c r="AB57" s="4"/>
      <c r="AC57" s="19"/>
      <c r="AD57" s="19"/>
    </row>
    <row r="58" spans="1:30">
      <c r="A58" s="21"/>
      <c r="B58" s="12">
        <v>45715</v>
      </c>
      <c r="C58" s="1" t="s">
        <v>94</v>
      </c>
      <c r="D58" s="13" t="s">
        <v>22</v>
      </c>
      <c r="E58" s="1" t="s">
        <v>23</v>
      </c>
      <c r="F58" s="13" t="str">
        <f>VLOOKUP(E58,'Master Kode'!$B$3:$D$13,2,0)</f>
        <v>PET Green Flakes</v>
      </c>
      <c r="G58" s="1">
        <v>3100</v>
      </c>
      <c r="H58" s="1" t="s">
        <v>9</v>
      </c>
      <c r="I58" s="12">
        <v>45723</v>
      </c>
      <c r="K58" s="4"/>
      <c r="L58" s="3"/>
      <c r="M58" s="4"/>
      <c r="N58" s="5"/>
      <c r="O58" s="4"/>
      <c r="P58" s="5"/>
      <c r="Q58" s="4"/>
      <c r="R58" s="4"/>
      <c r="T58" s="4"/>
      <c r="U58" s="12"/>
      <c r="V58" s="4"/>
      <c r="W58" s="4"/>
      <c r="X58" s="5"/>
      <c r="Y58" s="4"/>
      <c r="Z58" s="5"/>
      <c r="AA58" s="4"/>
      <c r="AB58" s="4"/>
      <c r="AC58" s="19"/>
      <c r="AD58" s="19"/>
    </row>
    <row r="59" spans="1:30">
      <c r="A59" s="21"/>
      <c r="B59" s="12">
        <v>45716</v>
      </c>
      <c r="C59" s="1" t="s">
        <v>95</v>
      </c>
      <c r="D59" s="13" t="s">
        <v>25</v>
      </c>
      <c r="E59" s="1" t="s">
        <v>26</v>
      </c>
      <c r="F59" s="13" t="str">
        <f>VLOOKUP(E59,'Master Kode'!$B$3:$D$13,2,0)</f>
        <v>HDPE Blue Drum Flakes</v>
      </c>
      <c r="G59" s="1">
        <v>1500</v>
      </c>
      <c r="H59" s="1" t="s">
        <v>9</v>
      </c>
      <c r="I59" s="12">
        <v>45724</v>
      </c>
      <c r="K59" s="4"/>
      <c r="L59" s="3"/>
      <c r="M59" s="4"/>
      <c r="N59" s="5"/>
      <c r="O59" s="4"/>
      <c r="P59" s="5"/>
      <c r="Q59" s="4"/>
      <c r="R59" s="4"/>
      <c r="T59" s="4"/>
      <c r="U59" s="12"/>
      <c r="V59" s="4"/>
      <c r="W59" s="4"/>
      <c r="X59" s="5"/>
      <c r="Y59" s="4"/>
      <c r="Z59" s="5"/>
      <c r="AA59" s="4"/>
      <c r="AB59" s="4"/>
      <c r="AC59" s="19"/>
      <c r="AD59" s="19"/>
    </row>
    <row r="60" spans="1:30">
      <c r="A60" s="21"/>
      <c r="B60" s="12">
        <v>45716</v>
      </c>
      <c r="C60" s="1" t="s">
        <v>96</v>
      </c>
      <c r="D60" s="13" t="s">
        <v>6</v>
      </c>
      <c r="E60" s="1" t="s">
        <v>28</v>
      </c>
      <c r="F60" s="13" t="str">
        <f>VLOOKUP(E60,'Master Kode'!$B$3:$D$13,2,0)</f>
        <v>PET Mixed Color Flakes</v>
      </c>
      <c r="G60" s="1">
        <v>2700</v>
      </c>
      <c r="H60" s="1" t="s">
        <v>9</v>
      </c>
      <c r="I60" s="12">
        <v>45724</v>
      </c>
      <c r="K60" s="4"/>
      <c r="L60" s="3"/>
      <c r="M60" s="4"/>
      <c r="N60" s="5"/>
      <c r="O60" s="4"/>
      <c r="P60" s="5"/>
      <c r="Q60" s="4"/>
      <c r="R60" s="4"/>
      <c r="T60" s="4"/>
      <c r="U60" s="12"/>
      <c r="V60" s="4"/>
      <c r="W60" s="4"/>
      <c r="X60" s="5"/>
      <c r="Y60" s="4"/>
      <c r="Z60" s="5"/>
      <c r="AA60" s="4"/>
      <c r="AB60" s="4"/>
      <c r="AC60" s="19"/>
      <c r="AD60" s="19"/>
    </row>
    <row r="61" spans="1:30">
      <c r="A61" s="21"/>
      <c r="B61" s="12">
        <v>45717</v>
      </c>
      <c r="C61" s="1" t="s">
        <v>97</v>
      </c>
      <c r="D61" s="13" t="s">
        <v>10</v>
      </c>
      <c r="E61" s="1" t="s">
        <v>30</v>
      </c>
      <c r="F61" s="13" t="str">
        <f>VLOOKUP(E61,'Master Kode'!$B$3:$D$13,2,0)</f>
        <v>PP White Flakes</v>
      </c>
      <c r="G61" s="1">
        <v>1980</v>
      </c>
      <c r="H61" s="1" t="s">
        <v>9</v>
      </c>
      <c r="I61" s="12">
        <v>45725</v>
      </c>
      <c r="K61" s="4"/>
      <c r="L61" s="3"/>
      <c r="M61" s="4"/>
      <c r="N61" s="5"/>
      <c r="O61" s="4"/>
      <c r="P61" s="5"/>
      <c r="Q61" s="4"/>
      <c r="R61" s="4"/>
      <c r="T61" s="4"/>
      <c r="U61" s="12"/>
      <c r="V61" s="4"/>
      <c r="W61" s="4"/>
      <c r="X61" s="5"/>
      <c r="Y61" s="4"/>
      <c r="Z61" s="5"/>
      <c r="AA61" s="4"/>
      <c r="AB61" s="4"/>
      <c r="AC61" s="19"/>
      <c r="AD61" s="19"/>
    </row>
    <row r="62" spans="1:30">
      <c r="A62" s="21"/>
      <c r="B62" s="12">
        <v>45718</v>
      </c>
      <c r="C62" s="1" t="s">
        <v>98</v>
      </c>
      <c r="D62" s="13" t="s">
        <v>13</v>
      </c>
      <c r="E62" s="1" t="s">
        <v>34</v>
      </c>
      <c r="F62" s="13" t="str">
        <f>VLOOKUP(E62,'Master Kode'!$B$3:$D$13,2,0)</f>
        <v>PET Hot Washed Flakes</v>
      </c>
      <c r="G62" s="1">
        <v>3300</v>
      </c>
      <c r="H62" s="1" t="s">
        <v>9</v>
      </c>
      <c r="I62" s="12">
        <v>45726</v>
      </c>
      <c r="K62" s="4"/>
      <c r="L62" s="3"/>
      <c r="M62" s="4"/>
      <c r="N62" s="5"/>
      <c r="O62" s="4"/>
      <c r="P62" s="5"/>
      <c r="Q62" s="4"/>
      <c r="R62" s="4"/>
      <c r="T62" s="4"/>
      <c r="U62" s="12"/>
      <c r="V62" s="4"/>
      <c r="W62" s="4"/>
      <c r="X62" s="5"/>
      <c r="Y62" s="4"/>
      <c r="Z62" s="5"/>
      <c r="AA62" s="4"/>
      <c r="AB62" s="4"/>
      <c r="AC62" s="19"/>
      <c r="AD62" s="19"/>
    </row>
    <row r="63" spans="1:30">
      <c r="A63" s="21"/>
      <c r="B63" s="12">
        <v>45719</v>
      </c>
      <c r="C63" s="1" t="s">
        <v>99</v>
      </c>
      <c r="D63" s="13" t="s">
        <v>16</v>
      </c>
      <c r="E63" s="1" t="s">
        <v>7</v>
      </c>
      <c r="F63" s="13" t="str">
        <f>VLOOKUP(E63,'Master Kode'!$B$3:$D$13,2,0)</f>
        <v>PET Clear Flakes</v>
      </c>
      <c r="G63" s="1">
        <v>2105</v>
      </c>
      <c r="H63" s="1" t="s">
        <v>9</v>
      </c>
      <c r="I63" s="12">
        <v>45727</v>
      </c>
      <c r="K63" s="4"/>
      <c r="L63" s="3"/>
      <c r="M63" s="4"/>
      <c r="N63" s="5"/>
      <c r="O63" s="4"/>
      <c r="P63" s="5"/>
      <c r="Q63" s="4"/>
      <c r="R63" s="4"/>
      <c r="T63" s="4"/>
      <c r="U63" s="12"/>
      <c r="V63" s="4"/>
      <c r="W63" s="4"/>
      <c r="X63" s="5"/>
      <c r="Y63" s="4"/>
      <c r="Z63" s="5"/>
      <c r="AA63" s="4"/>
      <c r="AB63" s="4"/>
      <c r="AC63" s="19"/>
      <c r="AD63" s="19"/>
    </row>
    <row r="64" spans="1:30">
      <c r="A64" s="21"/>
      <c r="B64" s="12">
        <v>45720</v>
      </c>
      <c r="C64" s="1" t="s">
        <v>100</v>
      </c>
      <c r="D64" s="13" t="s">
        <v>19</v>
      </c>
      <c r="E64" s="1" t="s">
        <v>11</v>
      </c>
      <c r="F64" s="13" t="str">
        <f>VLOOKUP(E64,'Master Kode'!$B$3:$D$13,2,0)</f>
        <v>PET Blue Flakes</v>
      </c>
      <c r="G64" s="1">
        <v>2870</v>
      </c>
      <c r="H64" s="1" t="s">
        <v>9</v>
      </c>
      <c r="I64" s="12">
        <v>45728</v>
      </c>
      <c r="K64" s="4"/>
      <c r="L64" s="3"/>
      <c r="M64" s="4"/>
      <c r="N64" s="5"/>
      <c r="O64" s="4"/>
      <c r="P64" s="5"/>
      <c r="Q64" s="4"/>
      <c r="R64" s="4"/>
      <c r="T64" s="4"/>
      <c r="U64" s="12"/>
      <c r="V64" s="4"/>
      <c r="W64" s="4"/>
      <c r="X64" s="5"/>
      <c r="Y64" s="4"/>
      <c r="Z64" s="5"/>
      <c r="AA64" s="4"/>
      <c r="AB64" s="4"/>
      <c r="AC64" s="19"/>
      <c r="AD64" s="19"/>
    </row>
    <row r="65" spans="1:30">
      <c r="A65" s="21"/>
      <c r="B65" s="12">
        <v>45721</v>
      </c>
      <c r="C65" s="1" t="s">
        <v>101</v>
      </c>
      <c r="D65" s="13" t="s">
        <v>22</v>
      </c>
      <c r="E65" s="1" t="s">
        <v>14</v>
      </c>
      <c r="F65" s="13" t="str">
        <f>VLOOKUP(E65,'Master Kode'!$B$3:$D$13,2,0)</f>
        <v>HDPE Natural Flakes</v>
      </c>
      <c r="G65" s="1">
        <v>2200</v>
      </c>
      <c r="H65" s="1" t="s">
        <v>9</v>
      </c>
      <c r="I65" s="12">
        <v>45729</v>
      </c>
      <c r="K65" s="4"/>
      <c r="L65" s="3"/>
      <c r="M65" s="4"/>
      <c r="N65" s="5"/>
      <c r="O65" s="4"/>
      <c r="P65" s="5"/>
      <c r="Q65" s="4"/>
      <c r="R65" s="4"/>
      <c r="T65" s="4"/>
      <c r="U65" s="12"/>
      <c r="V65" s="4"/>
      <c r="W65" s="4"/>
      <c r="X65" s="5"/>
      <c r="Y65" s="4"/>
      <c r="Z65" s="5"/>
      <c r="AA65" s="4"/>
      <c r="AB65" s="4"/>
      <c r="AC65" s="19"/>
      <c r="AD65" s="19"/>
    </row>
    <row r="66" spans="1:30">
      <c r="A66" s="21"/>
      <c r="B66" s="12">
        <v>45722</v>
      </c>
      <c r="C66" s="1" t="s">
        <v>102</v>
      </c>
      <c r="D66" s="13" t="s">
        <v>25</v>
      </c>
      <c r="E66" s="1" t="s">
        <v>17</v>
      </c>
      <c r="F66" s="13" t="str">
        <f>VLOOKUP(E66,'Master Kode'!$B$3:$D$13,2,0)</f>
        <v>HDPE Mixed Color Flakes</v>
      </c>
      <c r="G66" s="1">
        <v>2500</v>
      </c>
      <c r="H66" s="1" t="s">
        <v>9</v>
      </c>
      <c r="I66" s="12">
        <v>45730</v>
      </c>
      <c r="K66" s="4"/>
      <c r="L66" s="3"/>
      <c r="M66" s="4"/>
      <c r="N66" s="5"/>
      <c r="O66" s="4"/>
      <c r="P66" s="5"/>
      <c r="Q66" s="4"/>
      <c r="R66" s="4"/>
      <c r="T66" s="4"/>
      <c r="U66" s="12"/>
      <c r="V66" s="4"/>
      <c r="W66" s="4"/>
      <c r="X66" s="5"/>
      <c r="Y66" s="4"/>
      <c r="Z66" s="5"/>
      <c r="AA66" s="4"/>
      <c r="AB66" s="4"/>
      <c r="AC66" s="19"/>
      <c r="AD66" s="19"/>
    </row>
    <row r="67" spans="1:30">
      <c r="A67" s="21"/>
      <c r="B67" s="12">
        <v>45723</v>
      </c>
      <c r="C67" s="1" t="s">
        <v>103</v>
      </c>
      <c r="D67" s="13" t="s">
        <v>6</v>
      </c>
      <c r="E67" s="1" t="s">
        <v>20</v>
      </c>
      <c r="F67" s="13" t="str">
        <f>VLOOKUP(E67,'Master Kode'!$B$3:$D$13,2,0)</f>
        <v>PP Injection Flakes</v>
      </c>
      <c r="G67" s="1">
        <v>3100</v>
      </c>
      <c r="H67" s="1" t="s">
        <v>9</v>
      </c>
      <c r="I67" s="12">
        <v>45731</v>
      </c>
      <c r="K67" s="4"/>
      <c r="L67" s="3"/>
      <c r="M67" s="4"/>
      <c r="N67" s="5"/>
      <c r="O67" s="4"/>
      <c r="P67" s="5"/>
      <c r="Q67" s="4"/>
      <c r="R67" s="4"/>
      <c r="T67" s="4"/>
      <c r="U67" s="12"/>
      <c r="V67" s="4"/>
      <c r="W67" s="4"/>
      <c r="X67" s="5"/>
      <c r="Y67" s="4"/>
      <c r="Z67" s="5"/>
      <c r="AA67" s="4"/>
      <c r="AB67" s="4"/>
      <c r="AC67" s="19"/>
      <c r="AD67" s="19"/>
    </row>
    <row r="68" spans="1:30">
      <c r="A68" s="21"/>
      <c r="B68" s="12">
        <v>45724</v>
      </c>
      <c r="C68" s="1" t="s">
        <v>104</v>
      </c>
      <c r="D68" s="13" t="s">
        <v>10</v>
      </c>
      <c r="E68" s="1" t="s">
        <v>23</v>
      </c>
      <c r="F68" s="13" t="str">
        <f>VLOOKUP(E68,'Master Kode'!$B$3:$D$13,2,0)</f>
        <v>PET Green Flakes</v>
      </c>
      <c r="G68" s="1">
        <v>2900</v>
      </c>
      <c r="H68" s="1" t="s">
        <v>9</v>
      </c>
      <c r="I68" s="12">
        <v>45732</v>
      </c>
      <c r="K68" s="4"/>
      <c r="L68" s="3"/>
      <c r="M68" s="4"/>
      <c r="N68" s="5"/>
      <c r="O68" s="4"/>
      <c r="P68" s="5"/>
      <c r="Q68" s="4"/>
      <c r="R68" s="4"/>
      <c r="T68" s="4"/>
      <c r="U68" s="12"/>
      <c r="V68" s="4"/>
      <c r="W68" s="4"/>
      <c r="X68" s="5"/>
      <c r="Y68" s="4"/>
      <c r="Z68" s="5"/>
      <c r="AA68" s="4"/>
      <c r="AB68" s="4"/>
      <c r="AC68" s="19"/>
      <c r="AD68" s="19"/>
    </row>
    <row r="69" spans="1:30">
      <c r="A69" s="21"/>
      <c r="B69" s="12">
        <v>45726</v>
      </c>
      <c r="C69" s="1" t="s">
        <v>105</v>
      </c>
      <c r="D69" s="13" t="s">
        <v>13</v>
      </c>
      <c r="E69" s="1" t="s">
        <v>26</v>
      </c>
      <c r="F69" s="13" t="str">
        <f>VLOOKUP(E69,'Master Kode'!$B$3:$D$13,2,0)</f>
        <v>HDPE Blue Drum Flakes</v>
      </c>
      <c r="G69" s="1">
        <v>1700</v>
      </c>
      <c r="H69" s="1" t="s">
        <v>9</v>
      </c>
      <c r="I69" s="12">
        <v>45734</v>
      </c>
      <c r="K69" s="4"/>
      <c r="L69" s="3"/>
      <c r="M69" s="4"/>
      <c r="N69" s="5"/>
      <c r="O69" s="4"/>
      <c r="P69" s="5"/>
      <c r="Q69" s="4"/>
      <c r="R69" s="4"/>
      <c r="T69" s="4"/>
      <c r="U69" s="12"/>
      <c r="V69" s="4"/>
      <c r="W69" s="4"/>
      <c r="X69" s="5"/>
      <c r="Y69" s="4"/>
      <c r="Z69" s="5"/>
      <c r="AA69" s="4"/>
      <c r="AB69" s="4"/>
      <c r="AC69" s="19"/>
      <c r="AD69" s="19"/>
    </row>
    <row r="70" spans="1:30">
      <c r="A70" s="21"/>
      <c r="B70" s="12">
        <v>45727</v>
      </c>
      <c r="C70" s="1" t="s">
        <v>106</v>
      </c>
      <c r="D70" s="13" t="s">
        <v>16</v>
      </c>
      <c r="E70" s="1" t="s">
        <v>28</v>
      </c>
      <c r="F70" s="13" t="str">
        <f>VLOOKUP(E70,'Master Kode'!$B$3:$D$13,2,0)</f>
        <v>PET Mixed Color Flakes</v>
      </c>
      <c r="G70" s="1">
        <v>2600</v>
      </c>
      <c r="H70" s="1" t="s">
        <v>9</v>
      </c>
      <c r="I70" s="12">
        <v>45735</v>
      </c>
      <c r="K70" s="4"/>
      <c r="L70" s="3"/>
      <c r="M70" s="4"/>
      <c r="N70" s="5"/>
      <c r="O70" s="4"/>
      <c r="P70" s="5"/>
      <c r="Q70" s="4"/>
      <c r="R70" s="4"/>
      <c r="T70" s="4"/>
      <c r="U70" s="12"/>
      <c r="V70" s="4"/>
      <c r="W70" s="4"/>
      <c r="X70" s="5"/>
      <c r="Y70" s="4"/>
      <c r="Z70" s="5"/>
      <c r="AA70" s="4"/>
      <c r="AB70" s="4"/>
      <c r="AC70" s="19"/>
      <c r="AD70" s="19"/>
    </row>
    <row r="71" spans="1:30">
      <c r="A71" s="21"/>
      <c r="B71" s="12">
        <v>45729</v>
      </c>
      <c r="C71" s="1" t="s">
        <v>107</v>
      </c>
      <c r="D71" s="13" t="s">
        <v>19</v>
      </c>
      <c r="E71" s="1" t="s">
        <v>30</v>
      </c>
      <c r="F71" s="13" t="str">
        <f>VLOOKUP(E71,'Master Kode'!$B$3:$D$13,2,0)</f>
        <v>PP White Flakes</v>
      </c>
      <c r="G71" s="1">
        <v>2400</v>
      </c>
      <c r="H71" s="1" t="s">
        <v>9</v>
      </c>
      <c r="I71" s="12">
        <v>45737</v>
      </c>
      <c r="K71" s="4"/>
      <c r="L71" s="3"/>
      <c r="M71" s="4"/>
      <c r="N71" s="5"/>
      <c r="O71" s="4"/>
      <c r="P71" s="5"/>
      <c r="Q71" s="4"/>
      <c r="R71" s="4"/>
      <c r="T71" s="4"/>
      <c r="U71" s="12"/>
      <c r="V71" s="4"/>
      <c r="W71" s="4"/>
      <c r="X71" s="5"/>
      <c r="Y71" s="4"/>
      <c r="Z71" s="5"/>
      <c r="AA71" s="4"/>
      <c r="AB71" s="4"/>
      <c r="AC71" s="19"/>
      <c r="AD71" s="19"/>
    </row>
    <row r="72" spans="1:30">
      <c r="A72" s="21"/>
      <c r="B72" s="12">
        <v>45731</v>
      </c>
      <c r="C72" s="1" t="s">
        <v>108</v>
      </c>
      <c r="D72" s="13" t="s">
        <v>22</v>
      </c>
      <c r="E72" s="1" t="s">
        <v>7</v>
      </c>
      <c r="F72" s="13" t="str">
        <f>VLOOKUP(E72,'Master Kode'!$B$3:$D$13,2,0)</f>
        <v>PET Clear Flakes</v>
      </c>
      <c r="G72" s="1">
        <v>3100</v>
      </c>
      <c r="H72" s="1" t="s">
        <v>9</v>
      </c>
      <c r="I72" s="12">
        <v>45739</v>
      </c>
      <c r="K72" s="4"/>
      <c r="L72" s="3"/>
      <c r="M72" s="4"/>
      <c r="N72" s="5"/>
      <c r="O72" s="4"/>
      <c r="P72" s="5"/>
      <c r="Q72" s="4"/>
      <c r="R72" s="4"/>
      <c r="T72" s="4"/>
      <c r="U72" s="12"/>
      <c r="V72" s="4"/>
      <c r="W72" s="4"/>
      <c r="X72" s="5"/>
      <c r="Y72" s="4"/>
      <c r="Z72" s="5"/>
      <c r="AA72" s="4"/>
      <c r="AB72" s="4"/>
      <c r="AC72" s="19"/>
      <c r="AD72" s="19"/>
    </row>
    <row r="73" spans="1:30">
      <c r="A73" s="21"/>
      <c r="B73" s="12">
        <v>45732</v>
      </c>
      <c r="C73" s="1" t="s">
        <v>109</v>
      </c>
      <c r="D73" s="13" t="s">
        <v>25</v>
      </c>
      <c r="E73" s="1" t="s">
        <v>14</v>
      </c>
      <c r="F73" s="13" t="str">
        <f>VLOOKUP(E73,'Master Kode'!$B$3:$D$13,2,0)</f>
        <v>HDPE Natural Flakes</v>
      </c>
      <c r="G73" s="1">
        <v>2250</v>
      </c>
      <c r="H73" s="1" t="s">
        <v>9</v>
      </c>
      <c r="I73" s="12">
        <v>45740</v>
      </c>
      <c r="K73" s="4"/>
      <c r="L73" s="3"/>
      <c r="M73" s="4"/>
      <c r="N73" s="5"/>
      <c r="O73" s="4"/>
      <c r="P73" s="5"/>
      <c r="Q73" s="4"/>
      <c r="R73" s="4"/>
      <c r="T73" s="4"/>
      <c r="U73" s="12"/>
      <c r="V73" s="4"/>
      <c r="W73" s="4"/>
      <c r="X73" s="5"/>
      <c r="Y73" s="4"/>
      <c r="Z73" s="5"/>
      <c r="AA73" s="4"/>
      <c r="AB73" s="4"/>
      <c r="AC73" s="19"/>
      <c r="AD73" s="19"/>
    </row>
    <row r="74" spans="1:30">
      <c r="A74" s="21"/>
      <c r="B74" s="12">
        <v>45734</v>
      </c>
      <c r="C74" s="1" t="s">
        <v>110</v>
      </c>
      <c r="D74" s="13" t="s">
        <v>6</v>
      </c>
      <c r="E74" s="1" t="s">
        <v>34</v>
      </c>
      <c r="F74" s="13" t="str">
        <f>VLOOKUP(E74,'Master Kode'!$B$3:$D$13,2,0)</f>
        <v>PET Hot Washed Flakes</v>
      </c>
      <c r="G74" s="1">
        <v>3450</v>
      </c>
      <c r="H74" s="1" t="s">
        <v>9</v>
      </c>
      <c r="I74" s="12">
        <v>45742</v>
      </c>
      <c r="K74" s="4"/>
      <c r="L74" s="3"/>
      <c r="M74" s="4"/>
      <c r="N74" s="5"/>
      <c r="O74" s="4"/>
      <c r="P74" s="5"/>
      <c r="Q74" s="4"/>
      <c r="R74" s="4"/>
      <c r="T74" s="4"/>
      <c r="U74" s="12"/>
      <c r="V74" s="4"/>
      <c r="W74" s="4"/>
      <c r="X74" s="5"/>
      <c r="Y74" s="4"/>
      <c r="Z74" s="5"/>
      <c r="AA74" s="4"/>
      <c r="AB74" s="4"/>
      <c r="AC74" s="19"/>
      <c r="AD74" s="19"/>
    </row>
    <row r="75" spans="1:30">
      <c r="A75" s="21"/>
      <c r="B75" s="12">
        <v>45736</v>
      </c>
      <c r="C75" s="1" t="s">
        <v>111</v>
      </c>
      <c r="D75" s="13" t="s">
        <v>10</v>
      </c>
      <c r="E75" s="1" t="s">
        <v>17</v>
      </c>
      <c r="F75" s="13" t="str">
        <f>VLOOKUP(E75,'Master Kode'!$B$3:$D$13,2,0)</f>
        <v>HDPE Mixed Color Flakes</v>
      </c>
      <c r="G75" s="1">
        <v>2800</v>
      </c>
      <c r="H75" s="1" t="s">
        <v>9</v>
      </c>
      <c r="I75" s="12">
        <v>45744</v>
      </c>
      <c r="K75" s="4"/>
      <c r="L75" s="3"/>
      <c r="M75" s="4"/>
      <c r="N75" s="5"/>
      <c r="O75" s="4"/>
      <c r="P75" s="5"/>
      <c r="Q75" s="4"/>
      <c r="R75" s="4"/>
      <c r="T75" s="4"/>
      <c r="U75" s="12"/>
      <c r="V75" s="4"/>
      <c r="W75" s="4"/>
      <c r="X75" s="5"/>
      <c r="Y75" s="4"/>
      <c r="Z75" s="5"/>
      <c r="AA75" s="4"/>
      <c r="AB75" s="4"/>
      <c r="AC75" s="19"/>
      <c r="AD75" s="19"/>
    </row>
    <row r="76" spans="1:30">
      <c r="A76" s="21"/>
      <c r="B76" s="12">
        <v>45738</v>
      </c>
      <c r="C76" s="1" t="s">
        <v>112</v>
      </c>
      <c r="D76" s="13" t="s">
        <v>13</v>
      </c>
      <c r="E76" s="1" t="s">
        <v>11</v>
      </c>
      <c r="F76" s="13" t="str">
        <f>VLOOKUP(E76,'Master Kode'!$B$3:$D$13,2,0)</f>
        <v>PET Blue Flakes</v>
      </c>
      <c r="G76" s="1">
        <v>2600</v>
      </c>
      <c r="H76" s="1" t="s">
        <v>9</v>
      </c>
      <c r="I76" s="12">
        <v>45746</v>
      </c>
      <c r="K76" s="4"/>
      <c r="L76" s="3"/>
      <c r="M76" s="4"/>
      <c r="N76" s="5"/>
      <c r="O76" s="4"/>
      <c r="P76" s="5"/>
      <c r="Q76" s="4"/>
      <c r="R76" s="4"/>
      <c r="T76" s="4"/>
      <c r="U76" s="12"/>
      <c r="V76" s="4"/>
      <c r="W76" s="4"/>
      <c r="X76" s="5"/>
      <c r="Y76" s="4"/>
      <c r="Z76" s="5"/>
      <c r="AA76" s="4"/>
      <c r="AB76" s="4"/>
      <c r="AC76" s="19"/>
      <c r="AD76" s="19"/>
    </row>
    <row r="77" spans="1:30">
      <c r="A77" s="21"/>
      <c r="B77" s="12">
        <v>45740</v>
      </c>
      <c r="C77" s="1" t="s">
        <v>113</v>
      </c>
      <c r="D77" s="13" t="s">
        <v>16</v>
      </c>
      <c r="E77" s="1" t="s">
        <v>20</v>
      </c>
      <c r="F77" s="13" t="str">
        <f>VLOOKUP(E77,'Master Kode'!$B$3:$D$13,2,0)</f>
        <v>PP Injection Flakes</v>
      </c>
      <c r="G77" s="1">
        <v>2950</v>
      </c>
      <c r="H77" s="1" t="s">
        <v>9</v>
      </c>
      <c r="I77" s="12">
        <v>45747</v>
      </c>
      <c r="K77" s="4"/>
      <c r="L77" s="3"/>
      <c r="M77" s="4"/>
      <c r="N77" s="5"/>
      <c r="O77" s="4"/>
      <c r="P77" s="5"/>
      <c r="Q77" s="4"/>
      <c r="R77" s="4"/>
      <c r="T77" s="4"/>
      <c r="U77" s="12"/>
      <c r="V77" s="4"/>
      <c r="W77" s="4"/>
      <c r="X77" s="5"/>
      <c r="Y77" s="4"/>
      <c r="Z77" s="5"/>
      <c r="AA77" s="4"/>
      <c r="AB77" s="4"/>
      <c r="AC77" s="19"/>
      <c r="AD77" s="19"/>
    </row>
    <row r="78" spans="1:30">
      <c r="A78" s="21"/>
      <c r="B78" s="12">
        <v>45743</v>
      </c>
      <c r="C78" s="1" t="s">
        <v>114</v>
      </c>
      <c r="D78" s="13" t="s">
        <v>6</v>
      </c>
      <c r="E78" s="1" t="s">
        <v>7</v>
      </c>
      <c r="F78" s="13" t="str">
        <f>VLOOKUP(E78,'Master Kode'!$B$3:$D$13,2,0)</f>
        <v>PET Clear Flakes</v>
      </c>
      <c r="G78" s="1">
        <v>1850</v>
      </c>
      <c r="H78" s="1" t="s">
        <v>9</v>
      </c>
      <c r="I78" s="12">
        <v>45750</v>
      </c>
      <c r="K78" s="4"/>
      <c r="L78" s="3"/>
      <c r="M78" s="4"/>
      <c r="N78" s="5"/>
      <c r="O78" s="4"/>
      <c r="P78" s="5"/>
      <c r="Q78" s="4"/>
      <c r="R78" s="4"/>
      <c r="T78" s="4"/>
      <c r="U78" s="12"/>
      <c r="V78" s="4"/>
      <c r="W78" s="4"/>
      <c r="X78" s="5"/>
      <c r="Y78" s="4"/>
      <c r="Z78" s="5"/>
      <c r="AA78" s="4"/>
      <c r="AB78" s="4"/>
      <c r="AC78" s="19"/>
      <c r="AD78" s="19"/>
    </row>
    <row r="79" spans="1:30">
      <c r="A79" s="21"/>
      <c r="B79" s="12">
        <v>45743</v>
      </c>
      <c r="C79" s="1" t="s">
        <v>115</v>
      </c>
      <c r="D79" s="13" t="s">
        <v>10</v>
      </c>
      <c r="E79" s="1" t="s">
        <v>11</v>
      </c>
      <c r="F79" s="13" t="str">
        <f>VLOOKUP(E79,'Master Kode'!$B$3:$D$13,2,0)</f>
        <v>PET Blue Flakes</v>
      </c>
      <c r="G79" s="1">
        <v>2450</v>
      </c>
      <c r="H79" s="1" t="s">
        <v>9</v>
      </c>
      <c r="I79" s="12">
        <v>45751</v>
      </c>
      <c r="K79" s="4"/>
      <c r="L79" s="3"/>
      <c r="M79" s="4"/>
      <c r="N79" s="5"/>
      <c r="O79" s="4"/>
      <c r="P79" s="5"/>
      <c r="Q79" s="4"/>
      <c r="R79" s="4"/>
      <c r="T79" s="4"/>
      <c r="U79" s="12"/>
      <c r="V79" s="4"/>
      <c r="W79" s="4"/>
      <c r="X79" s="5"/>
      <c r="Y79" s="4"/>
      <c r="Z79" s="5"/>
      <c r="AA79" s="4"/>
      <c r="AB79" s="4"/>
      <c r="AC79" s="19"/>
      <c r="AD79" s="19"/>
    </row>
    <row r="80" spans="1:30">
      <c r="A80" s="21"/>
      <c r="B80" s="12">
        <v>45743</v>
      </c>
      <c r="C80" s="1" t="s">
        <v>116</v>
      </c>
      <c r="D80" s="13" t="s">
        <v>16</v>
      </c>
      <c r="E80" s="1" t="s">
        <v>14</v>
      </c>
      <c r="F80" s="13" t="str">
        <f>VLOOKUP(E80,'Master Kode'!$B$3:$D$13,2,0)</f>
        <v>HDPE Natural Flakes</v>
      </c>
      <c r="G80" s="1">
        <v>2100</v>
      </c>
      <c r="H80" s="1" t="s">
        <v>9</v>
      </c>
      <c r="I80" s="12">
        <v>45751</v>
      </c>
      <c r="K80" s="4"/>
      <c r="L80" s="3"/>
      <c r="M80" s="4"/>
      <c r="N80" s="5"/>
      <c r="O80" s="4"/>
      <c r="P80" s="5"/>
      <c r="Q80" s="4"/>
      <c r="R80" s="4"/>
      <c r="T80" s="4"/>
      <c r="U80" s="12"/>
      <c r="V80" s="4"/>
      <c r="W80" s="4"/>
      <c r="X80" s="5"/>
      <c r="Y80" s="4"/>
      <c r="Z80" s="5"/>
      <c r="AA80" s="4"/>
      <c r="AB80" s="4"/>
      <c r="AC80" s="19"/>
      <c r="AD80" s="19"/>
    </row>
    <row r="81" spans="1:30">
      <c r="A81" s="21"/>
      <c r="B81" s="12">
        <v>45745</v>
      </c>
      <c r="C81" s="1" t="s">
        <v>117</v>
      </c>
      <c r="D81" s="13" t="s">
        <v>13</v>
      </c>
      <c r="E81" s="1" t="s">
        <v>17</v>
      </c>
      <c r="F81" s="13" t="str">
        <f>VLOOKUP(E81,'Master Kode'!$B$3:$D$13,2,0)</f>
        <v>HDPE Mixed Color Flakes</v>
      </c>
      <c r="G81" s="1">
        <v>1980</v>
      </c>
      <c r="H81" s="1" t="s">
        <v>9</v>
      </c>
      <c r="I81" s="12">
        <v>45753</v>
      </c>
      <c r="K81" s="4"/>
      <c r="L81" s="3"/>
      <c r="M81" s="4"/>
      <c r="N81" s="5"/>
      <c r="O81" s="4"/>
      <c r="P81" s="5"/>
      <c r="Q81" s="4"/>
      <c r="R81" s="4"/>
      <c r="T81" s="4"/>
      <c r="U81" s="12"/>
      <c r="V81" s="4"/>
      <c r="W81" s="4"/>
      <c r="X81" s="5"/>
      <c r="Y81" s="4"/>
      <c r="Z81" s="5"/>
      <c r="AA81" s="4"/>
      <c r="AB81" s="4"/>
      <c r="AC81" s="19"/>
      <c r="AD81" s="19"/>
    </row>
    <row r="82" spans="1:30">
      <c r="A82" s="21"/>
      <c r="B82" s="12">
        <v>45745</v>
      </c>
      <c r="C82" s="1" t="s">
        <v>118</v>
      </c>
      <c r="D82" s="13" t="s">
        <v>19</v>
      </c>
      <c r="E82" s="1" t="s">
        <v>20</v>
      </c>
      <c r="F82" s="13" t="str">
        <f>VLOOKUP(E82,'Master Kode'!$B$3:$D$13,2,0)</f>
        <v>PP Injection Flakes</v>
      </c>
      <c r="G82" s="1">
        <v>2750</v>
      </c>
      <c r="H82" s="1" t="s">
        <v>9</v>
      </c>
      <c r="I82" s="12">
        <v>45753</v>
      </c>
      <c r="K82" s="4"/>
      <c r="L82" s="3"/>
      <c r="M82" s="4"/>
      <c r="N82" s="5"/>
      <c r="O82" s="4"/>
      <c r="P82" s="5"/>
      <c r="Q82" s="4"/>
      <c r="R82" s="4"/>
      <c r="T82" s="4"/>
      <c r="U82" s="12"/>
      <c r="V82" s="4"/>
      <c r="W82" s="4"/>
      <c r="X82" s="5"/>
      <c r="Y82" s="4"/>
      <c r="Z82" s="5"/>
      <c r="AA82" s="4"/>
      <c r="AB82" s="4"/>
      <c r="AC82" s="19"/>
      <c r="AD82" s="19"/>
    </row>
    <row r="83" spans="1:30">
      <c r="A83" s="21"/>
      <c r="B83" s="12">
        <v>45745</v>
      </c>
      <c r="C83" s="1" t="s">
        <v>119</v>
      </c>
      <c r="D83" s="13" t="s">
        <v>22</v>
      </c>
      <c r="E83" s="1" t="s">
        <v>23</v>
      </c>
      <c r="F83" s="13" t="str">
        <f>VLOOKUP(E83,'Master Kode'!$B$3:$D$13,2,0)</f>
        <v>PET Green Flakes</v>
      </c>
      <c r="G83" s="1">
        <v>2330</v>
      </c>
      <c r="H83" s="1" t="s">
        <v>9</v>
      </c>
      <c r="I83" s="12">
        <v>45754</v>
      </c>
      <c r="K83" s="4"/>
      <c r="L83" s="3"/>
      <c r="M83" s="4"/>
      <c r="N83" s="5"/>
      <c r="O83" s="4"/>
      <c r="P83" s="5"/>
      <c r="Q83" s="4"/>
      <c r="R83" s="4"/>
      <c r="T83" s="4"/>
      <c r="U83" s="12"/>
      <c r="V83" s="4"/>
      <c r="W83" s="4"/>
      <c r="X83" s="5"/>
      <c r="Y83" s="4"/>
      <c r="Z83" s="5"/>
      <c r="AA83" s="4"/>
      <c r="AB83" s="4"/>
      <c r="AC83" s="19"/>
      <c r="AD83" s="19"/>
    </row>
    <row r="84" spans="1:30">
      <c r="A84" s="21"/>
      <c r="B84" s="12">
        <v>45747</v>
      </c>
      <c r="C84" s="1" t="s">
        <v>120</v>
      </c>
      <c r="D84" s="13" t="s">
        <v>25</v>
      </c>
      <c r="E84" s="1" t="s">
        <v>26</v>
      </c>
      <c r="F84" s="13" t="str">
        <f>VLOOKUP(E84,'Master Kode'!$B$3:$D$13,2,0)</f>
        <v>HDPE Blue Drum Flakes</v>
      </c>
      <c r="G84" s="1">
        <v>1650</v>
      </c>
      <c r="H84" s="1" t="s">
        <v>9</v>
      </c>
      <c r="I84" s="12">
        <v>45755</v>
      </c>
      <c r="K84" s="4"/>
      <c r="L84" s="3"/>
      <c r="M84" s="4"/>
      <c r="N84" s="5"/>
      <c r="O84" s="4"/>
      <c r="P84" s="5"/>
      <c r="Q84" s="4"/>
      <c r="R84" s="4"/>
      <c r="T84" s="4"/>
      <c r="U84" s="12"/>
      <c r="V84" s="4"/>
      <c r="W84" s="4"/>
      <c r="X84" s="5"/>
      <c r="Y84" s="4"/>
      <c r="Z84" s="5"/>
      <c r="AA84" s="4"/>
      <c r="AB84" s="4"/>
      <c r="AC84" s="19"/>
      <c r="AD84" s="19"/>
    </row>
    <row r="85" spans="1:30">
      <c r="A85" s="21"/>
      <c r="B85" s="12">
        <v>45747</v>
      </c>
      <c r="C85" s="1" t="s">
        <v>121</v>
      </c>
      <c r="D85" s="13" t="s">
        <v>6</v>
      </c>
      <c r="E85" s="1" t="s">
        <v>28</v>
      </c>
      <c r="F85" s="13" t="str">
        <f>VLOOKUP(E85,'Master Kode'!$B$3:$D$13,2,0)</f>
        <v>PET Mixed Color Flakes</v>
      </c>
      <c r="G85" s="1">
        <v>2890</v>
      </c>
      <c r="H85" s="1" t="s">
        <v>9</v>
      </c>
      <c r="I85" s="12">
        <v>45755</v>
      </c>
      <c r="K85" s="4"/>
      <c r="L85" s="3"/>
      <c r="M85" s="4"/>
      <c r="N85" s="5"/>
      <c r="O85" s="4"/>
      <c r="P85" s="5"/>
      <c r="Q85" s="4"/>
      <c r="R85" s="4"/>
      <c r="T85" s="4"/>
      <c r="U85" s="12"/>
      <c r="V85" s="4"/>
      <c r="W85" s="4"/>
      <c r="X85" s="5"/>
      <c r="Y85" s="4"/>
      <c r="Z85" s="5"/>
      <c r="AA85" s="4"/>
      <c r="AB85" s="4"/>
      <c r="AC85" s="19"/>
      <c r="AD85" s="19"/>
    </row>
    <row r="86" spans="1:30">
      <c r="A86" s="21"/>
      <c r="B86" s="12">
        <v>45747</v>
      </c>
      <c r="C86" s="1" t="s">
        <v>122</v>
      </c>
      <c r="D86" s="13" t="s">
        <v>10</v>
      </c>
      <c r="E86" s="1" t="s">
        <v>30</v>
      </c>
      <c r="F86" s="13" t="str">
        <f>VLOOKUP(E86,'Master Kode'!$B$3:$D$13,2,0)</f>
        <v>PP White Flakes</v>
      </c>
      <c r="G86" s="1">
        <v>3150</v>
      </c>
      <c r="H86" s="1" t="s">
        <v>9</v>
      </c>
      <c r="I86" s="12">
        <v>45756</v>
      </c>
      <c r="K86" s="4"/>
      <c r="L86" s="3"/>
      <c r="M86" s="4"/>
      <c r="N86" s="5"/>
      <c r="O86" s="4"/>
      <c r="P86" s="5"/>
      <c r="Q86" s="4"/>
      <c r="R86" s="4"/>
      <c r="T86" s="4"/>
      <c r="U86" s="12"/>
      <c r="V86" s="4"/>
      <c r="W86" s="4"/>
      <c r="X86" s="5"/>
      <c r="Y86" s="4"/>
      <c r="Z86" s="5"/>
      <c r="AA86" s="4"/>
      <c r="AB86" s="4"/>
      <c r="AC86" s="19"/>
      <c r="AD86" s="19"/>
    </row>
    <row r="87" spans="1:30">
      <c r="A87" s="21"/>
      <c r="B87" s="12">
        <v>45750</v>
      </c>
      <c r="C87" s="1" t="s">
        <v>123</v>
      </c>
      <c r="D87" s="13" t="s">
        <v>16</v>
      </c>
      <c r="E87" s="1" t="s">
        <v>7</v>
      </c>
      <c r="F87" s="13" t="str">
        <f>VLOOKUP(E87,'Master Kode'!$B$3:$D$13,2,0)</f>
        <v>PET Clear Flakes</v>
      </c>
      <c r="G87" s="1">
        <v>1990</v>
      </c>
      <c r="H87" s="1" t="s">
        <v>9</v>
      </c>
      <c r="I87" s="12">
        <v>45757</v>
      </c>
      <c r="K87" s="4"/>
      <c r="L87" s="3"/>
      <c r="M87" s="4"/>
      <c r="N87" s="5"/>
      <c r="O87" s="4"/>
      <c r="P87" s="5"/>
      <c r="Q87" s="4"/>
      <c r="R87" s="4"/>
      <c r="T87" s="4"/>
      <c r="U87" s="12"/>
      <c r="V87" s="4"/>
      <c r="W87" s="4"/>
      <c r="X87" s="5"/>
      <c r="Y87" s="4"/>
      <c r="Z87" s="5"/>
      <c r="AA87" s="4"/>
      <c r="AB87" s="4"/>
      <c r="AC87" s="19"/>
      <c r="AD87" s="19"/>
    </row>
    <row r="88" spans="1:30">
      <c r="A88" s="21"/>
      <c r="B88" s="12">
        <v>45750</v>
      </c>
      <c r="C88" s="1" t="s">
        <v>124</v>
      </c>
      <c r="D88" s="13" t="s">
        <v>19</v>
      </c>
      <c r="E88" s="1" t="s">
        <v>11</v>
      </c>
      <c r="F88" s="13" t="str">
        <f>VLOOKUP(E88,'Master Kode'!$B$3:$D$13,2,0)</f>
        <v>PET Blue Flakes</v>
      </c>
      <c r="G88" s="1">
        <v>2210</v>
      </c>
      <c r="H88" s="1" t="s">
        <v>9</v>
      </c>
      <c r="I88" s="12">
        <v>45758</v>
      </c>
      <c r="K88" s="4"/>
      <c r="L88" s="3"/>
      <c r="M88" s="4"/>
      <c r="N88" s="5"/>
      <c r="O88" s="4"/>
      <c r="P88" s="5"/>
      <c r="Q88" s="4"/>
      <c r="R88" s="4"/>
      <c r="T88" s="4"/>
      <c r="U88" s="12"/>
      <c r="V88" s="4"/>
      <c r="W88" s="4"/>
      <c r="X88" s="5"/>
      <c r="Y88" s="4"/>
      <c r="Z88" s="5"/>
      <c r="AA88" s="4"/>
      <c r="AB88" s="4"/>
      <c r="AC88" s="19"/>
      <c r="AD88" s="19"/>
    </row>
    <row r="89" spans="1:30">
      <c r="A89" s="21"/>
      <c r="B89" s="12">
        <v>45750</v>
      </c>
      <c r="C89" s="1" t="s">
        <v>125</v>
      </c>
      <c r="D89" s="13" t="s">
        <v>13</v>
      </c>
      <c r="E89" s="1" t="s">
        <v>32</v>
      </c>
      <c r="F89" s="13" t="str">
        <f>VLOOKUP(E89,'Master Kode'!$B$3:$D$13,2,0)</f>
        <v>HDPE Bottle Cap Flakes</v>
      </c>
      <c r="G89" s="1">
        <v>1870</v>
      </c>
      <c r="H89" s="1" t="s">
        <v>9</v>
      </c>
      <c r="I89" s="12">
        <v>45758</v>
      </c>
      <c r="K89" s="4"/>
      <c r="L89" s="3"/>
      <c r="M89" s="4"/>
      <c r="N89" s="5"/>
      <c r="O89" s="4"/>
      <c r="P89" s="5"/>
      <c r="Q89" s="4"/>
      <c r="R89" s="4"/>
      <c r="T89" s="4"/>
      <c r="U89" s="12"/>
      <c r="V89" s="4"/>
      <c r="W89" s="4"/>
      <c r="X89" s="5"/>
      <c r="Y89" s="4"/>
      <c r="Z89" s="5"/>
      <c r="AA89" s="4"/>
      <c r="AB89" s="4"/>
      <c r="AC89" s="19"/>
      <c r="AD89" s="19"/>
    </row>
    <row r="90" spans="1:30">
      <c r="A90" s="21"/>
      <c r="B90" s="12">
        <v>45754</v>
      </c>
      <c r="C90" s="1" t="s">
        <v>126</v>
      </c>
      <c r="D90" s="13" t="s">
        <v>22</v>
      </c>
      <c r="E90" s="1" t="s">
        <v>34</v>
      </c>
      <c r="F90" s="13" t="str">
        <f>VLOOKUP(E90,'Master Kode'!$B$3:$D$13,2,0)</f>
        <v>PET Hot Washed Flakes</v>
      </c>
      <c r="G90" s="1">
        <v>3200</v>
      </c>
      <c r="H90" s="1" t="s">
        <v>9</v>
      </c>
      <c r="I90" s="12">
        <v>45762</v>
      </c>
      <c r="K90" s="4"/>
      <c r="L90" s="3"/>
      <c r="M90" s="4"/>
      <c r="N90" s="5"/>
      <c r="O90" s="4"/>
      <c r="P90" s="5"/>
      <c r="Q90" s="4"/>
      <c r="R90" s="4"/>
      <c r="T90" s="4"/>
      <c r="U90" s="12"/>
      <c r="V90" s="4"/>
      <c r="W90" s="4"/>
      <c r="X90" s="5"/>
      <c r="Y90" s="4"/>
      <c r="Z90" s="5"/>
      <c r="AA90" s="4"/>
      <c r="AB90" s="4"/>
      <c r="AC90" s="19"/>
      <c r="AD90" s="19"/>
    </row>
    <row r="91" spans="1:30">
      <c r="A91" s="21"/>
      <c r="B91" s="12">
        <v>45754</v>
      </c>
      <c r="C91" s="1" t="s">
        <v>127</v>
      </c>
      <c r="D91" s="13" t="s">
        <v>25</v>
      </c>
      <c r="E91" s="1" t="s">
        <v>14</v>
      </c>
      <c r="F91" s="13" t="str">
        <f>VLOOKUP(E91,'Master Kode'!$B$3:$D$13,2,0)</f>
        <v>HDPE Natural Flakes</v>
      </c>
      <c r="G91" s="1">
        <v>1780</v>
      </c>
      <c r="H91" s="1" t="s">
        <v>9</v>
      </c>
      <c r="I91" s="12">
        <v>45762</v>
      </c>
      <c r="K91" s="4"/>
      <c r="L91" s="3"/>
      <c r="M91" s="4"/>
      <c r="N91" s="5"/>
      <c r="O91" s="4"/>
      <c r="P91" s="5"/>
      <c r="Q91" s="4"/>
      <c r="R91" s="4"/>
      <c r="T91" s="4"/>
      <c r="U91" s="12"/>
      <c r="V91" s="4"/>
      <c r="W91" s="4"/>
      <c r="X91" s="5"/>
      <c r="Y91" s="4"/>
      <c r="Z91" s="5"/>
      <c r="AA91" s="4"/>
      <c r="AB91" s="4"/>
      <c r="AC91" s="19"/>
      <c r="AD91" s="19"/>
    </row>
    <row r="92" spans="1:30">
      <c r="A92" s="21"/>
      <c r="B92" s="12">
        <v>45754</v>
      </c>
      <c r="C92" s="1" t="s">
        <v>128</v>
      </c>
      <c r="D92" s="13" t="s">
        <v>6</v>
      </c>
      <c r="E92" s="1" t="s">
        <v>20</v>
      </c>
      <c r="F92" s="13" t="str">
        <f>VLOOKUP(E92,'Master Kode'!$B$3:$D$13,2,0)</f>
        <v>PP Injection Flakes</v>
      </c>
      <c r="G92" s="1">
        <v>2640</v>
      </c>
      <c r="H92" s="1" t="s">
        <v>9</v>
      </c>
      <c r="I92" s="12">
        <v>45763</v>
      </c>
      <c r="K92" s="4"/>
      <c r="L92" s="3"/>
      <c r="M92" s="4"/>
      <c r="N92" s="5"/>
      <c r="O92" s="4"/>
      <c r="P92" s="5"/>
      <c r="Q92" s="4"/>
      <c r="R92" s="4"/>
      <c r="T92" s="4"/>
      <c r="U92" s="12"/>
      <c r="V92" s="4"/>
      <c r="W92" s="4"/>
      <c r="X92" s="5"/>
      <c r="Y92" s="4"/>
      <c r="Z92" s="5"/>
      <c r="AA92" s="4"/>
      <c r="AB92" s="4"/>
      <c r="AC92" s="19"/>
      <c r="AD92" s="19"/>
    </row>
    <row r="93" spans="1:30">
      <c r="A93" s="21"/>
      <c r="B93" s="12">
        <v>45757</v>
      </c>
      <c r="C93" s="1" t="s">
        <v>129</v>
      </c>
      <c r="D93" s="13" t="s">
        <v>10</v>
      </c>
      <c r="E93" s="1" t="s">
        <v>28</v>
      </c>
      <c r="F93" s="13" t="str">
        <f>VLOOKUP(E93,'Master Kode'!$B$3:$D$13,2,0)</f>
        <v>PET Mixed Color Flakes</v>
      </c>
      <c r="G93" s="1">
        <v>3010</v>
      </c>
      <c r="H93" s="1" t="s">
        <v>9</v>
      </c>
      <c r="I93" s="12">
        <v>45765</v>
      </c>
      <c r="K93" s="4"/>
      <c r="L93" s="3"/>
      <c r="M93" s="4"/>
      <c r="N93" s="5"/>
      <c r="O93" s="4"/>
      <c r="P93" s="5"/>
      <c r="Q93" s="4"/>
      <c r="R93" s="4"/>
      <c r="T93" s="4"/>
      <c r="U93" s="12"/>
      <c r="V93" s="4"/>
      <c r="W93" s="4"/>
      <c r="X93" s="5"/>
      <c r="Y93" s="4"/>
      <c r="Z93" s="5"/>
      <c r="AA93" s="4"/>
      <c r="AB93" s="4"/>
      <c r="AC93" s="19"/>
      <c r="AD93" s="19"/>
    </row>
    <row r="94" spans="1:30">
      <c r="A94" s="21"/>
      <c r="B94" s="12">
        <v>45757</v>
      </c>
      <c r="C94" s="1" t="s">
        <v>130</v>
      </c>
      <c r="D94" s="13" t="s">
        <v>16</v>
      </c>
      <c r="E94" s="1" t="s">
        <v>17</v>
      </c>
      <c r="F94" s="13" t="str">
        <f>VLOOKUP(E94,'Master Kode'!$B$3:$D$13,2,0)</f>
        <v>HDPE Mixed Color Flakes</v>
      </c>
      <c r="G94" s="1">
        <v>2190</v>
      </c>
      <c r="H94" s="1" t="s">
        <v>9</v>
      </c>
      <c r="I94" s="12">
        <v>45765</v>
      </c>
      <c r="K94" s="4"/>
      <c r="L94" s="3"/>
      <c r="M94" s="4"/>
      <c r="N94" s="5"/>
      <c r="O94" s="4"/>
      <c r="P94" s="5"/>
      <c r="Q94" s="4"/>
      <c r="R94" s="4"/>
      <c r="T94" s="4"/>
      <c r="U94" s="12"/>
      <c r="V94" s="4"/>
      <c r="W94" s="4"/>
      <c r="X94" s="5"/>
      <c r="Y94" s="4"/>
      <c r="Z94" s="5"/>
      <c r="AA94" s="4"/>
      <c r="AB94" s="4"/>
      <c r="AC94" s="19"/>
      <c r="AD94" s="19"/>
    </row>
    <row r="95" spans="1:30">
      <c r="A95" s="21"/>
      <c r="B95" s="12">
        <v>45757</v>
      </c>
      <c r="C95" s="1" t="s">
        <v>131</v>
      </c>
      <c r="D95" s="13" t="s">
        <v>19</v>
      </c>
      <c r="E95" s="1" t="s">
        <v>30</v>
      </c>
      <c r="F95" s="13" t="str">
        <f>VLOOKUP(E95,'Master Kode'!$B$3:$D$13,2,0)</f>
        <v>PP White Flakes</v>
      </c>
      <c r="G95" s="1">
        <v>2440</v>
      </c>
      <c r="H95" s="1" t="s">
        <v>9</v>
      </c>
      <c r="I95" s="12">
        <v>45766</v>
      </c>
      <c r="K95" s="4"/>
      <c r="L95" s="3"/>
      <c r="M95" s="4"/>
      <c r="N95" s="5"/>
      <c r="O95" s="4"/>
      <c r="P95" s="5"/>
      <c r="Q95" s="4"/>
      <c r="R95" s="4"/>
      <c r="T95" s="4"/>
      <c r="U95" s="12"/>
      <c r="V95" s="4"/>
      <c r="W95" s="4"/>
      <c r="X95" s="5"/>
      <c r="Y95" s="4"/>
      <c r="Z95" s="5"/>
      <c r="AA95" s="4"/>
      <c r="AB95" s="4"/>
      <c r="AC95" s="19"/>
      <c r="AD95" s="19"/>
    </row>
    <row r="96" spans="1:30">
      <c r="A96" s="21"/>
      <c r="B96" s="12">
        <v>45762</v>
      </c>
      <c r="C96" s="1" t="s">
        <v>132</v>
      </c>
      <c r="D96" s="13" t="s">
        <v>13</v>
      </c>
      <c r="E96" s="1" t="s">
        <v>23</v>
      </c>
      <c r="F96" s="13" t="str">
        <f>VLOOKUP(E96,'Master Kode'!$B$3:$D$13,2,0)</f>
        <v>PET Green Flakes</v>
      </c>
      <c r="G96" s="1">
        <v>2310</v>
      </c>
      <c r="H96" s="1" t="s">
        <v>9</v>
      </c>
      <c r="I96" s="12">
        <v>45770</v>
      </c>
      <c r="K96" s="4"/>
      <c r="L96" s="3"/>
      <c r="M96" s="4"/>
      <c r="N96" s="5"/>
      <c r="O96" s="4"/>
      <c r="P96" s="5"/>
      <c r="Q96" s="4"/>
      <c r="R96" s="4"/>
      <c r="T96" s="4"/>
      <c r="U96" s="12"/>
      <c r="V96" s="4"/>
      <c r="W96" s="4"/>
      <c r="X96" s="5"/>
      <c r="Y96" s="4"/>
      <c r="Z96" s="5"/>
      <c r="AA96" s="4"/>
      <c r="AB96" s="4"/>
      <c r="AC96" s="19"/>
      <c r="AD96" s="19"/>
    </row>
    <row r="97" spans="1:30">
      <c r="A97" s="21"/>
      <c r="B97" s="12">
        <v>45762</v>
      </c>
      <c r="C97" s="1" t="s">
        <v>133</v>
      </c>
      <c r="D97" s="13" t="s">
        <v>22</v>
      </c>
      <c r="E97" s="1" t="s">
        <v>7</v>
      </c>
      <c r="F97" s="13" t="str">
        <f>VLOOKUP(E97,'Master Kode'!$B$3:$D$13,2,0)</f>
        <v>PET Clear Flakes</v>
      </c>
      <c r="G97" s="1">
        <v>2950</v>
      </c>
      <c r="H97" s="1" t="s">
        <v>9</v>
      </c>
      <c r="I97" s="12">
        <v>45770</v>
      </c>
      <c r="K97" s="4"/>
      <c r="L97" s="3"/>
      <c r="M97" s="4"/>
      <c r="N97" s="5"/>
      <c r="O97" s="4"/>
      <c r="P97" s="5"/>
      <c r="Q97" s="4"/>
      <c r="R97" s="4"/>
      <c r="T97" s="4"/>
      <c r="U97" s="12"/>
      <c r="V97" s="4"/>
      <c r="W97" s="4"/>
      <c r="X97" s="5"/>
      <c r="Y97" s="4"/>
      <c r="Z97" s="5"/>
      <c r="AA97" s="4"/>
      <c r="AB97" s="4"/>
      <c r="AC97" s="19"/>
      <c r="AD97" s="19"/>
    </row>
    <row r="98" spans="1:30">
      <c r="A98" s="21"/>
      <c r="B98" s="12">
        <v>45762</v>
      </c>
      <c r="C98" s="1" t="s">
        <v>134</v>
      </c>
      <c r="D98" s="13" t="s">
        <v>25</v>
      </c>
      <c r="E98" s="1" t="s">
        <v>11</v>
      </c>
      <c r="F98" s="13" t="str">
        <f>VLOOKUP(E98,'Master Kode'!$B$3:$D$13,2,0)</f>
        <v>PET Blue Flakes</v>
      </c>
      <c r="G98" s="1">
        <v>2075</v>
      </c>
      <c r="H98" s="1" t="s">
        <v>9</v>
      </c>
      <c r="I98" s="12">
        <v>45771</v>
      </c>
      <c r="K98" s="4"/>
      <c r="L98" s="3"/>
      <c r="M98" s="4"/>
      <c r="N98" s="5"/>
      <c r="O98" s="4"/>
      <c r="P98" s="5"/>
      <c r="Q98" s="4"/>
      <c r="R98" s="4"/>
      <c r="T98" s="4"/>
      <c r="U98" s="12"/>
      <c r="V98" s="4"/>
      <c r="W98" s="4"/>
      <c r="X98" s="5"/>
      <c r="Y98" s="4"/>
      <c r="Z98" s="5"/>
      <c r="AA98" s="4"/>
      <c r="AB98" s="4"/>
      <c r="AC98" s="19"/>
      <c r="AD98" s="19"/>
    </row>
    <row r="99" spans="1:30">
      <c r="A99" s="21"/>
      <c r="B99" s="12">
        <v>45766</v>
      </c>
      <c r="C99" s="1" t="s">
        <v>135</v>
      </c>
      <c r="D99" s="13" t="s">
        <v>16</v>
      </c>
      <c r="E99" s="1" t="s">
        <v>32</v>
      </c>
      <c r="F99" s="13" t="str">
        <f>VLOOKUP(E99,'Master Kode'!$B$3:$D$13,2,0)</f>
        <v>HDPE Bottle Cap Flakes</v>
      </c>
      <c r="G99" s="1">
        <v>1880</v>
      </c>
      <c r="H99" s="1" t="s">
        <v>9</v>
      </c>
      <c r="I99" s="12">
        <v>45774</v>
      </c>
      <c r="K99" s="4"/>
      <c r="L99" s="3"/>
      <c r="M99" s="4"/>
      <c r="N99" s="5"/>
      <c r="O99" s="4"/>
      <c r="P99" s="5"/>
      <c r="Q99" s="4"/>
      <c r="R99" s="4"/>
      <c r="T99" s="4"/>
      <c r="U99" s="12"/>
      <c r="V99" s="4"/>
      <c r="W99" s="4"/>
      <c r="X99" s="5"/>
      <c r="Y99" s="4"/>
      <c r="Z99" s="5"/>
      <c r="AA99" s="4"/>
      <c r="AB99" s="4"/>
      <c r="AC99" s="19"/>
      <c r="AD99" s="19"/>
    </row>
    <row r="100" spans="1:30">
      <c r="A100" s="21"/>
      <c r="B100" s="12">
        <v>45766</v>
      </c>
      <c r="C100" s="1" t="s">
        <v>136</v>
      </c>
      <c r="D100" s="13" t="s">
        <v>19</v>
      </c>
      <c r="E100" s="1" t="s">
        <v>14</v>
      </c>
      <c r="F100" s="13" t="str">
        <f>VLOOKUP(E100,'Master Kode'!$B$3:$D$13,2,0)</f>
        <v>HDPE Natural Flakes</v>
      </c>
      <c r="G100" s="1">
        <v>2540</v>
      </c>
      <c r="H100" s="1" t="s">
        <v>9</v>
      </c>
      <c r="I100" s="12">
        <v>45774</v>
      </c>
      <c r="K100" s="4"/>
      <c r="L100" s="3"/>
      <c r="M100" s="4"/>
      <c r="N100" s="5"/>
      <c r="O100" s="4"/>
      <c r="P100" s="5"/>
      <c r="Q100" s="4"/>
      <c r="R100" s="4"/>
      <c r="T100" s="4"/>
      <c r="U100" s="12"/>
      <c r="V100" s="4"/>
      <c r="W100" s="4"/>
      <c r="X100" s="5"/>
      <c r="Y100" s="4"/>
      <c r="Z100" s="5"/>
      <c r="AA100" s="4"/>
      <c r="AB100" s="4"/>
      <c r="AC100" s="19"/>
      <c r="AD100" s="19"/>
    </row>
    <row r="101" spans="1:30">
      <c r="A101" s="21"/>
      <c r="B101" s="12">
        <v>45766</v>
      </c>
      <c r="C101" s="1" t="s">
        <v>137</v>
      </c>
      <c r="D101" s="13" t="s">
        <v>10</v>
      </c>
      <c r="E101" s="1" t="s">
        <v>34</v>
      </c>
      <c r="F101" s="13" t="str">
        <f>VLOOKUP(E101,'Master Kode'!$B$3:$D$13,2,0)</f>
        <v>PET Hot Washed Flakes</v>
      </c>
      <c r="G101" s="1">
        <v>3360</v>
      </c>
      <c r="H101" s="1" t="s">
        <v>9</v>
      </c>
      <c r="I101" s="12">
        <v>45775</v>
      </c>
      <c r="K101" s="4"/>
      <c r="L101" s="3"/>
      <c r="M101" s="4"/>
      <c r="N101" s="5"/>
      <c r="O101" s="4"/>
      <c r="P101" s="5"/>
      <c r="Q101" s="4"/>
      <c r="R101" s="4"/>
      <c r="T101" s="4"/>
      <c r="U101" s="12"/>
      <c r="V101" s="4"/>
      <c r="W101" s="4"/>
      <c r="X101" s="5"/>
      <c r="Y101" s="4"/>
      <c r="Z101" s="5"/>
      <c r="AA101" s="4"/>
      <c r="AB101" s="4"/>
      <c r="AC101" s="19"/>
      <c r="AD101" s="19"/>
    </row>
    <row r="102" spans="1:30">
      <c r="A102" s="21"/>
      <c r="B102" s="12">
        <v>45770</v>
      </c>
      <c r="C102" s="1" t="s">
        <v>138</v>
      </c>
      <c r="D102" s="13" t="s">
        <v>6</v>
      </c>
      <c r="E102" s="1" t="s">
        <v>17</v>
      </c>
      <c r="F102" s="13" t="str">
        <f>VLOOKUP(E102,'Master Kode'!$B$3:$D$13,2,0)</f>
        <v>HDPE Mixed Color Flakes</v>
      </c>
      <c r="G102" s="1">
        <v>2010</v>
      </c>
      <c r="H102" s="1" t="s">
        <v>9</v>
      </c>
      <c r="I102" s="12">
        <v>45777</v>
      </c>
      <c r="K102" s="4"/>
      <c r="L102" s="3"/>
      <c r="M102" s="4"/>
      <c r="N102" s="5"/>
      <c r="O102" s="4"/>
      <c r="P102" s="5"/>
      <c r="Q102" s="4"/>
      <c r="R102" s="4"/>
      <c r="T102" s="4"/>
      <c r="U102" s="12"/>
      <c r="V102" s="4"/>
      <c r="W102" s="4"/>
      <c r="X102" s="5"/>
      <c r="Y102" s="4"/>
      <c r="Z102" s="5"/>
      <c r="AA102" s="4"/>
      <c r="AB102" s="4"/>
      <c r="AC102" s="19"/>
      <c r="AD102" s="19"/>
    </row>
    <row r="103" spans="1:30">
      <c r="A103" s="21"/>
      <c r="B103" s="12">
        <v>45770</v>
      </c>
      <c r="C103" s="1" t="s">
        <v>139</v>
      </c>
      <c r="D103" s="13" t="s">
        <v>13</v>
      </c>
      <c r="E103" s="1" t="s">
        <v>20</v>
      </c>
      <c r="F103" s="13" t="str">
        <f>VLOOKUP(E103,'Master Kode'!$B$3:$D$13,2,0)</f>
        <v>PP Injection Flakes</v>
      </c>
      <c r="G103" s="1">
        <v>2675</v>
      </c>
      <c r="H103" s="1" t="s">
        <v>9</v>
      </c>
      <c r="I103" s="12">
        <v>45777</v>
      </c>
      <c r="K103" s="4"/>
      <c r="L103" s="3"/>
      <c r="M103" s="4"/>
      <c r="N103" s="5"/>
      <c r="O103" s="4"/>
      <c r="P103" s="5"/>
      <c r="Q103" s="4"/>
      <c r="R103" s="4"/>
      <c r="T103" s="4"/>
      <c r="U103" s="12"/>
      <c r="V103" s="4"/>
      <c r="W103" s="4"/>
      <c r="X103" s="5"/>
      <c r="Y103" s="4"/>
      <c r="Z103" s="5"/>
      <c r="AA103" s="4"/>
      <c r="AB103" s="4"/>
      <c r="AC103" s="19"/>
      <c r="AD103" s="19"/>
    </row>
    <row r="104" spans="1:30">
      <c r="A104" s="21"/>
      <c r="B104" s="12">
        <v>45770</v>
      </c>
      <c r="C104" s="1" t="s">
        <v>140</v>
      </c>
      <c r="D104" s="13" t="s">
        <v>22</v>
      </c>
      <c r="E104" s="1" t="s">
        <v>28</v>
      </c>
      <c r="F104" s="13" t="str">
        <f>VLOOKUP(E104,'Master Kode'!$B$3:$D$13,2,0)</f>
        <v>PET Mixed Color Flakes</v>
      </c>
      <c r="G104" s="1">
        <v>2230</v>
      </c>
      <c r="H104" s="1" t="s">
        <v>9</v>
      </c>
      <c r="I104" s="12">
        <v>45778</v>
      </c>
      <c r="K104" s="4"/>
      <c r="L104" s="3"/>
      <c r="M104" s="4"/>
      <c r="N104" s="5"/>
      <c r="O104" s="4"/>
      <c r="P104" s="5"/>
      <c r="Q104" s="4"/>
      <c r="R104" s="4"/>
      <c r="T104" s="4"/>
      <c r="U104" s="12"/>
      <c r="V104" s="4"/>
      <c r="W104" s="4"/>
      <c r="X104" s="5"/>
      <c r="Y104" s="4"/>
      <c r="Z104" s="5"/>
      <c r="AA104" s="4"/>
      <c r="AB104" s="4"/>
      <c r="AC104" s="19"/>
      <c r="AD104" s="19"/>
    </row>
    <row r="105" spans="1:30">
      <c r="A105" s="21"/>
      <c r="B105" s="12">
        <v>45773</v>
      </c>
      <c r="C105" s="1" t="s">
        <v>141</v>
      </c>
      <c r="D105" s="13" t="s">
        <v>6</v>
      </c>
      <c r="E105" s="1" t="s">
        <v>7</v>
      </c>
      <c r="F105" s="13" t="str">
        <f>VLOOKUP(E105,'Master Kode'!$B$3:$D$13,2,0)</f>
        <v>PET Clear Flakes</v>
      </c>
      <c r="G105" s="1">
        <v>1820</v>
      </c>
      <c r="H105" s="1" t="s">
        <v>9</v>
      </c>
      <c r="I105" s="12">
        <v>45781</v>
      </c>
      <c r="K105" s="4"/>
      <c r="L105" s="3"/>
      <c r="M105" s="4"/>
      <c r="N105" s="5"/>
      <c r="O105" s="4"/>
      <c r="P105" s="5"/>
      <c r="Q105" s="4"/>
      <c r="R105" s="4"/>
      <c r="T105" s="4"/>
      <c r="U105" s="12"/>
      <c r="V105" s="4"/>
      <c r="W105" s="4"/>
      <c r="X105" s="5"/>
      <c r="Y105" s="4"/>
      <c r="Z105" s="5"/>
      <c r="AA105" s="4"/>
      <c r="AB105" s="4"/>
      <c r="AC105" s="19"/>
      <c r="AD105" s="19"/>
    </row>
    <row r="106" spans="1:30">
      <c r="A106" s="21"/>
      <c r="B106" s="12">
        <v>45773</v>
      </c>
      <c r="C106" s="1" t="s">
        <v>142</v>
      </c>
      <c r="D106" s="13" t="s">
        <v>10</v>
      </c>
      <c r="E106" s="1" t="s">
        <v>14</v>
      </c>
      <c r="F106" s="13" t="str">
        <f>VLOOKUP(E106,'Master Kode'!$B$3:$D$13,2,0)</f>
        <v>HDPE Natural Flakes</v>
      </c>
      <c r="G106" s="1">
        <v>2560</v>
      </c>
      <c r="H106" s="1" t="s">
        <v>9</v>
      </c>
      <c r="I106" s="12">
        <v>45781</v>
      </c>
      <c r="K106" s="4"/>
      <c r="L106" s="3"/>
      <c r="M106" s="4"/>
      <c r="N106" s="5"/>
      <c r="O106" s="4"/>
      <c r="P106" s="5"/>
      <c r="Q106" s="4"/>
      <c r="R106" s="4"/>
      <c r="T106" s="4"/>
      <c r="U106" s="12"/>
      <c r="V106" s="4"/>
      <c r="W106" s="4"/>
      <c r="X106" s="5"/>
      <c r="Y106" s="4"/>
      <c r="Z106" s="5"/>
      <c r="AA106" s="4"/>
      <c r="AB106" s="4"/>
      <c r="AC106" s="19"/>
      <c r="AD106" s="19"/>
    </row>
    <row r="107" spans="1:30">
      <c r="A107" s="21"/>
      <c r="B107" s="12">
        <v>45774</v>
      </c>
      <c r="C107" s="1" t="s">
        <v>143</v>
      </c>
      <c r="D107" s="13" t="s">
        <v>13</v>
      </c>
      <c r="E107" s="1" t="s">
        <v>11</v>
      </c>
      <c r="F107" s="13" t="str">
        <f>VLOOKUP(E107,'Master Kode'!$B$3:$D$13,2,0)</f>
        <v>PET Blue Flakes</v>
      </c>
      <c r="G107" s="1">
        <v>3100</v>
      </c>
      <c r="H107" s="1" t="s">
        <v>9</v>
      </c>
      <c r="I107" s="12">
        <v>45782</v>
      </c>
      <c r="K107" s="4"/>
      <c r="L107" s="3"/>
      <c r="M107" s="4"/>
      <c r="N107" s="5"/>
      <c r="O107" s="4"/>
      <c r="P107" s="5"/>
      <c r="Q107" s="4"/>
      <c r="R107" s="4"/>
      <c r="T107" s="4"/>
      <c r="U107" s="12"/>
      <c r="V107" s="4"/>
      <c r="W107" s="4"/>
      <c r="X107" s="5"/>
      <c r="Y107" s="4"/>
      <c r="Z107" s="5"/>
      <c r="AA107" s="4"/>
      <c r="AB107" s="4"/>
      <c r="AC107" s="19"/>
      <c r="AD107" s="19"/>
    </row>
    <row r="108" spans="1:30">
      <c r="A108" s="21"/>
      <c r="B108" s="12">
        <v>45774</v>
      </c>
      <c r="C108" s="1" t="s">
        <v>144</v>
      </c>
      <c r="D108" s="13" t="s">
        <v>16</v>
      </c>
      <c r="E108" s="1" t="s">
        <v>17</v>
      </c>
      <c r="F108" s="13" t="str">
        <f>VLOOKUP(E108,'Master Kode'!$B$3:$D$13,2,0)</f>
        <v>HDPE Mixed Color Flakes</v>
      </c>
      <c r="G108" s="1">
        <v>1450</v>
      </c>
      <c r="H108" s="1" t="s">
        <v>9</v>
      </c>
      <c r="I108" s="12">
        <v>45783</v>
      </c>
      <c r="K108" s="4"/>
      <c r="L108" s="3"/>
      <c r="M108" s="4"/>
      <c r="N108" s="5"/>
      <c r="O108" s="4"/>
      <c r="P108" s="5"/>
      <c r="Q108" s="4"/>
      <c r="R108" s="4"/>
      <c r="T108" s="4"/>
      <c r="U108" s="12"/>
      <c r="V108" s="4"/>
      <c r="W108" s="4"/>
      <c r="X108" s="5"/>
      <c r="Y108" s="4"/>
      <c r="Z108" s="5"/>
      <c r="AA108" s="4"/>
      <c r="AB108" s="4"/>
      <c r="AC108" s="19"/>
      <c r="AD108" s="19"/>
    </row>
    <row r="109" spans="1:30">
      <c r="A109" s="21"/>
      <c r="B109" s="12">
        <v>45775</v>
      </c>
      <c r="C109" s="1" t="s">
        <v>145</v>
      </c>
      <c r="D109" s="13" t="s">
        <v>19</v>
      </c>
      <c r="E109" s="1" t="s">
        <v>23</v>
      </c>
      <c r="F109" s="13" t="str">
        <f>VLOOKUP(E109,'Master Kode'!$B$3:$D$13,2,0)</f>
        <v>PET Green Flakes</v>
      </c>
      <c r="G109" s="1">
        <v>2280</v>
      </c>
      <c r="H109" s="1" t="s">
        <v>9</v>
      </c>
      <c r="I109" s="12">
        <v>45784</v>
      </c>
      <c r="K109" s="4"/>
      <c r="L109" s="3"/>
      <c r="M109" s="4"/>
      <c r="N109" s="5"/>
      <c r="O109" s="4"/>
      <c r="P109" s="5"/>
      <c r="Q109" s="4"/>
      <c r="R109" s="4"/>
      <c r="T109" s="4"/>
      <c r="U109" s="12"/>
      <c r="V109" s="4"/>
      <c r="W109" s="4"/>
      <c r="X109" s="5"/>
      <c r="Y109" s="4"/>
      <c r="Z109" s="5"/>
      <c r="AA109" s="4"/>
      <c r="AB109" s="4"/>
      <c r="AC109" s="19"/>
      <c r="AD109" s="19"/>
    </row>
    <row r="110" spans="1:30">
      <c r="A110" s="21"/>
      <c r="B110" s="12">
        <v>45775</v>
      </c>
      <c r="C110" s="1" t="s">
        <v>146</v>
      </c>
      <c r="D110" s="13" t="s">
        <v>22</v>
      </c>
      <c r="E110" s="1" t="s">
        <v>20</v>
      </c>
      <c r="F110" s="13" t="str">
        <f>VLOOKUP(E110,'Master Kode'!$B$3:$D$13,2,0)</f>
        <v>PP Injection Flakes</v>
      </c>
      <c r="G110" s="1">
        <v>2750</v>
      </c>
      <c r="H110" s="1" t="s">
        <v>9</v>
      </c>
      <c r="I110" s="12">
        <v>45784</v>
      </c>
      <c r="K110" s="4"/>
      <c r="L110" s="3"/>
      <c r="M110" s="4"/>
      <c r="N110" s="5"/>
      <c r="O110" s="4"/>
      <c r="P110" s="5"/>
      <c r="Q110" s="4"/>
      <c r="R110" s="4"/>
      <c r="T110" s="4"/>
      <c r="U110" s="12"/>
      <c r="V110" s="4"/>
      <c r="W110" s="4"/>
      <c r="X110" s="5"/>
      <c r="Y110" s="4"/>
      <c r="Z110" s="5"/>
      <c r="AA110" s="4"/>
      <c r="AB110" s="4"/>
      <c r="AC110" s="19"/>
      <c r="AD110" s="19"/>
    </row>
    <row r="111" spans="1:30">
      <c r="A111" s="21"/>
      <c r="B111" s="12">
        <v>45776</v>
      </c>
      <c r="C111" s="1" t="s">
        <v>147</v>
      </c>
      <c r="D111" s="13" t="s">
        <v>25</v>
      </c>
      <c r="E111" s="1" t="s">
        <v>26</v>
      </c>
      <c r="F111" s="13" t="str">
        <f>VLOOKUP(E111,'Master Kode'!$B$3:$D$13,2,0)</f>
        <v>HDPE Blue Drum Flakes</v>
      </c>
      <c r="G111" s="1">
        <v>1640</v>
      </c>
      <c r="H111" s="1" t="s">
        <v>9</v>
      </c>
      <c r="I111" s="12">
        <v>45785</v>
      </c>
      <c r="K111" s="4"/>
      <c r="L111" s="3"/>
      <c r="M111" s="4"/>
      <c r="N111" s="5"/>
      <c r="O111" s="4"/>
      <c r="P111" s="5"/>
      <c r="Q111" s="4"/>
      <c r="R111" s="4"/>
      <c r="T111" s="4"/>
      <c r="U111" s="12"/>
      <c r="V111" s="4"/>
      <c r="W111" s="4"/>
      <c r="X111" s="5"/>
      <c r="Y111" s="4"/>
      <c r="Z111" s="5"/>
      <c r="AA111" s="4"/>
      <c r="AB111" s="4"/>
      <c r="AC111" s="19"/>
      <c r="AD111" s="19"/>
    </row>
    <row r="112" spans="1:30">
      <c r="A112" s="21"/>
      <c r="B112" s="12">
        <v>45777</v>
      </c>
      <c r="C112" s="1" t="s">
        <v>148</v>
      </c>
      <c r="D112" s="13" t="s">
        <v>6</v>
      </c>
      <c r="E112" s="1" t="s">
        <v>28</v>
      </c>
      <c r="F112" s="13" t="str">
        <f>VLOOKUP(E112,'Master Kode'!$B$3:$D$13,2,0)</f>
        <v>PET Mixed Color Flakes</v>
      </c>
      <c r="G112" s="1">
        <v>3050</v>
      </c>
      <c r="H112" s="1" t="s">
        <v>9</v>
      </c>
      <c r="I112" s="12">
        <v>45786</v>
      </c>
      <c r="K112" s="4"/>
      <c r="L112" s="3"/>
      <c r="M112" s="4"/>
      <c r="N112" s="5"/>
      <c r="O112" s="4"/>
      <c r="P112" s="5"/>
      <c r="Q112" s="4"/>
      <c r="R112" s="4"/>
      <c r="T112" s="4"/>
      <c r="U112" s="12"/>
      <c r="V112" s="4"/>
      <c r="W112" s="4"/>
      <c r="X112" s="5"/>
      <c r="Y112" s="4"/>
      <c r="Z112" s="5"/>
      <c r="AA112" s="4"/>
      <c r="AB112" s="4"/>
      <c r="AC112" s="19"/>
      <c r="AD112" s="19"/>
    </row>
    <row r="113" spans="1:30">
      <c r="A113" s="21"/>
      <c r="B113" s="12">
        <v>45778</v>
      </c>
      <c r="C113" s="1" t="s">
        <v>149</v>
      </c>
      <c r="D113" s="13" t="s">
        <v>10</v>
      </c>
      <c r="E113" s="1" t="s">
        <v>34</v>
      </c>
      <c r="F113" s="13" t="str">
        <f>VLOOKUP(E113,'Master Kode'!$B$3:$D$13,2,0)</f>
        <v>PET Hot Washed Flakes</v>
      </c>
      <c r="G113" s="1">
        <v>1980</v>
      </c>
      <c r="H113" s="1" t="s">
        <v>9</v>
      </c>
      <c r="I113" s="12">
        <v>45787</v>
      </c>
      <c r="K113" s="4"/>
      <c r="L113" s="3"/>
      <c r="M113" s="4"/>
      <c r="N113" s="5"/>
      <c r="O113" s="4"/>
      <c r="P113" s="5"/>
      <c r="Q113" s="4"/>
      <c r="R113" s="4"/>
      <c r="T113" s="4"/>
      <c r="U113" s="12"/>
      <c r="V113" s="4"/>
      <c r="W113" s="4"/>
      <c r="X113" s="5"/>
      <c r="Y113" s="4"/>
      <c r="Z113" s="5"/>
      <c r="AA113" s="4"/>
      <c r="AB113" s="4"/>
      <c r="AC113" s="19"/>
      <c r="AD113" s="19"/>
    </row>
    <row r="114" spans="1:30">
      <c r="A114" s="21"/>
      <c r="B114" s="12">
        <v>45779</v>
      </c>
      <c r="C114" s="1" t="s">
        <v>150</v>
      </c>
      <c r="D114" s="13" t="s">
        <v>13</v>
      </c>
      <c r="E114" s="1" t="s">
        <v>32</v>
      </c>
      <c r="F114" s="13" t="str">
        <f>VLOOKUP(E114,'Master Kode'!$B$3:$D$13,2,0)</f>
        <v>HDPE Bottle Cap Flakes</v>
      </c>
      <c r="G114" s="1">
        <v>2120</v>
      </c>
      <c r="H114" s="1" t="s">
        <v>9</v>
      </c>
      <c r="I114" s="12">
        <v>45788</v>
      </c>
      <c r="K114" s="4"/>
      <c r="L114" s="3"/>
      <c r="M114" s="4"/>
      <c r="N114" s="5"/>
      <c r="O114" s="4"/>
      <c r="P114" s="5"/>
      <c r="Q114" s="4"/>
      <c r="R114" s="4"/>
      <c r="T114" s="4"/>
      <c r="U114" s="12"/>
      <c r="V114" s="4"/>
      <c r="W114" s="4"/>
      <c r="X114" s="5"/>
      <c r="Y114" s="4"/>
      <c r="Z114" s="5"/>
      <c r="AA114" s="4"/>
      <c r="AB114" s="4"/>
      <c r="AC114" s="19"/>
      <c r="AD114" s="19"/>
    </row>
    <row r="115" spans="1:30">
      <c r="A115" s="21"/>
      <c r="B115" s="12">
        <v>45780</v>
      </c>
      <c r="C115" s="1" t="s">
        <v>151</v>
      </c>
      <c r="D115" s="13" t="s">
        <v>16</v>
      </c>
      <c r="E115" s="1" t="s">
        <v>11</v>
      </c>
      <c r="F115" s="13" t="str">
        <f>VLOOKUP(E115,'Master Kode'!$B$3:$D$13,2,0)</f>
        <v>PET Blue Flakes</v>
      </c>
      <c r="G115" s="1">
        <v>3340</v>
      </c>
      <c r="H115" s="1" t="s">
        <v>9</v>
      </c>
      <c r="I115" s="12">
        <v>45789</v>
      </c>
      <c r="K115" s="4"/>
      <c r="L115" s="3"/>
      <c r="M115" s="4"/>
      <c r="N115" s="5"/>
      <c r="O115" s="4"/>
      <c r="P115" s="5"/>
      <c r="Q115" s="4"/>
      <c r="R115" s="4"/>
      <c r="T115" s="4"/>
      <c r="U115" s="12"/>
      <c r="V115" s="4"/>
      <c r="W115" s="4"/>
      <c r="X115" s="5"/>
      <c r="Y115" s="4"/>
      <c r="Z115" s="5"/>
      <c r="AA115" s="4"/>
      <c r="AB115" s="4"/>
      <c r="AC115" s="19"/>
      <c r="AD115" s="19"/>
    </row>
    <row r="116" spans="1:30">
      <c r="A116" s="21"/>
      <c r="B116" s="12">
        <v>45781</v>
      </c>
      <c r="C116" s="1" t="s">
        <v>152</v>
      </c>
      <c r="D116" s="13" t="s">
        <v>19</v>
      </c>
      <c r="E116" s="1" t="s">
        <v>7</v>
      </c>
      <c r="F116" s="13" t="str">
        <f>VLOOKUP(E116,'Master Kode'!$B$3:$D$13,2,0)</f>
        <v>PET Clear Flakes</v>
      </c>
      <c r="G116" s="1">
        <v>2890</v>
      </c>
      <c r="H116" s="1" t="s">
        <v>9</v>
      </c>
      <c r="I116" s="12">
        <v>45790</v>
      </c>
      <c r="K116" s="4"/>
      <c r="L116" s="3"/>
      <c r="M116" s="4"/>
      <c r="N116" s="5"/>
      <c r="O116" s="4"/>
      <c r="P116" s="5"/>
      <c r="Q116" s="4"/>
      <c r="R116" s="4"/>
      <c r="T116" s="4"/>
      <c r="U116" s="12"/>
      <c r="V116" s="4"/>
      <c r="W116" s="4"/>
      <c r="X116" s="5"/>
      <c r="Y116" s="4"/>
      <c r="Z116" s="5"/>
      <c r="AA116" s="4"/>
      <c r="AB116" s="4"/>
      <c r="AC116" s="19"/>
      <c r="AD116" s="19"/>
    </row>
    <row r="117" spans="1:30">
      <c r="A117" s="21"/>
      <c r="B117" s="12">
        <v>45782</v>
      </c>
      <c r="C117" s="1" t="s">
        <v>153</v>
      </c>
      <c r="D117" s="13" t="s">
        <v>22</v>
      </c>
      <c r="E117" s="1" t="s">
        <v>14</v>
      </c>
      <c r="F117" s="13" t="str">
        <f>VLOOKUP(E117,'Master Kode'!$B$3:$D$13,2,0)</f>
        <v>HDPE Natural Flakes</v>
      </c>
      <c r="G117" s="1">
        <v>1570</v>
      </c>
      <c r="H117" s="1" t="s">
        <v>9</v>
      </c>
      <c r="I117" s="12">
        <v>45791</v>
      </c>
      <c r="K117" s="4"/>
      <c r="L117" s="3"/>
      <c r="M117" s="4"/>
      <c r="N117" s="5"/>
      <c r="O117" s="4"/>
      <c r="P117" s="5"/>
      <c r="Q117" s="4"/>
      <c r="R117" s="4"/>
      <c r="T117" s="4"/>
      <c r="U117" s="12"/>
      <c r="V117" s="4"/>
      <c r="W117" s="4"/>
      <c r="X117" s="5"/>
      <c r="Y117" s="4"/>
      <c r="Z117" s="5"/>
      <c r="AA117" s="4"/>
      <c r="AB117" s="4"/>
      <c r="AC117" s="19"/>
      <c r="AD117" s="19"/>
    </row>
    <row r="118" spans="1:30">
      <c r="A118" s="21"/>
      <c r="B118" s="12">
        <v>45783</v>
      </c>
      <c r="C118" s="1" t="s">
        <v>154</v>
      </c>
      <c r="D118" s="13" t="s">
        <v>25</v>
      </c>
      <c r="E118" s="1" t="s">
        <v>17</v>
      </c>
      <c r="F118" s="13" t="str">
        <f>VLOOKUP(E118,'Master Kode'!$B$3:$D$13,2,0)</f>
        <v>HDPE Mixed Color Flakes</v>
      </c>
      <c r="G118" s="1">
        <v>2210</v>
      </c>
      <c r="H118" s="1" t="s">
        <v>9</v>
      </c>
      <c r="I118" s="12">
        <v>45792</v>
      </c>
      <c r="K118" s="4"/>
      <c r="L118" s="3"/>
      <c r="M118" s="4"/>
      <c r="N118" s="5"/>
      <c r="O118" s="4"/>
      <c r="P118" s="5"/>
      <c r="Q118" s="4"/>
      <c r="R118" s="4"/>
      <c r="T118" s="4"/>
      <c r="U118" s="12"/>
      <c r="V118" s="4"/>
      <c r="W118" s="4"/>
      <c r="X118" s="5"/>
      <c r="Y118" s="4"/>
      <c r="Z118" s="5"/>
      <c r="AA118" s="4"/>
      <c r="AB118" s="4"/>
      <c r="AC118" s="19"/>
      <c r="AD118" s="19"/>
    </row>
    <row r="119" spans="1:30">
      <c r="A119" s="21"/>
      <c r="B119" s="12">
        <v>45784</v>
      </c>
      <c r="C119" s="1" t="s">
        <v>155</v>
      </c>
      <c r="D119" s="13" t="s">
        <v>6</v>
      </c>
      <c r="E119" s="1" t="s">
        <v>20</v>
      </c>
      <c r="F119" s="13" t="str">
        <f>VLOOKUP(E119,'Master Kode'!$B$3:$D$13,2,0)</f>
        <v>PP Injection Flakes</v>
      </c>
      <c r="G119" s="1">
        <v>3400</v>
      </c>
      <c r="H119" s="1" t="s">
        <v>9</v>
      </c>
      <c r="I119" s="12">
        <v>45793</v>
      </c>
      <c r="K119" s="4"/>
      <c r="L119" s="3"/>
      <c r="M119" s="4"/>
      <c r="N119" s="5"/>
      <c r="O119" s="4"/>
      <c r="P119" s="5"/>
      <c r="Q119" s="4"/>
      <c r="R119" s="4"/>
      <c r="T119" s="4"/>
      <c r="U119" s="12"/>
      <c r="V119" s="4"/>
      <c r="W119" s="4"/>
      <c r="X119" s="5"/>
      <c r="Y119" s="4"/>
      <c r="Z119" s="5"/>
      <c r="AA119" s="4"/>
      <c r="AB119" s="4"/>
      <c r="AC119" s="19"/>
      <c r="AD119" s="19"/>
    </row>
    <row r="120" spans="1:30">
      <c r="A120" s="21"/>
      <c r="B120" s="12">
        <v>45785</v>
      </c>
      <c r="C120" s="1" t="s">
        <v>156</v>
      </c>
      <c r="D120" s="13" t="s">
        <v>10</v>
      </c>
      <c r="E120" s="1" t="s">
        <v>23</v>
      </c>
      <c r="F120" s="13" t="str">
        <f>VLOOKUP(E120,'Master Kode'!$B$3:$D$13,2,0)</f>
        <v>PET Green Flakes</v>
      </c>
      <c r="G120" s="1">
        <v>2755</v>
      </c>
      <c r="H120" s="1" t="s">
        <v>9</v>
      </c>
      <c r="I120" s="12">
        <v>45794</v>
      </c>
      <c r="K120" s="4"/>
      <c r="L120" s="3"/>
      <c r="M120" s="4"/>
      <c r="N120" s="5"/>
      <c r="O120" s="4"/>
      <c r="P120" s="5"/>
      <c r="Q120" s="4"/>
      <c r="R120" s="4"/>
      <c r="T120" s="4"/>
      <c r="U120" s="12"/>
      <c r="V120" s="4"/>
      <c r="W120" s="4"/>
      <c r="X120" s="5"/>
      <c r="Y120" s="4"/>
      <c r="Z120" s="5"/>
      <c r="AA120" s="4"/>
      <c r="AB120" s="4"/>
      <c r="AC120" s="19"/>
      <c r="AD120" s="19"/>
    </row>
    <row r="121" spans="1:30">
      <c r="A121" s="21"/>
      <c r="B121" s="12">
        <v>45786</v>
      </c>
      <c r="C121" s="1" t="s">
        <v>157</v>
      </c>
      <c r="D121" s="13" t="s">
        <v>13</v>
      </c>
      <c r="E121" s="1" t="s">
        <v>34</v>
      </c>
      <c r="F121" s="13" t="str">
        <f>VLOOKUP(E121,'Master Kode'!$B$3:$D$13,2,0)</f>
        <v>PET Hot Washed Flakes</v>
      </c>
      <c r="G121" s="1">
        <v>1985</v>
      </c>
      <c r="H121" s="1" t="s">
        <v>9</v>
      </c>
      <c r="I121" s="12">
        <v>45795</v>
      </c>
      <c r="K121" s="4"/>
      <c r="L121" s="3"/>
      <c r="M121" s="4"/>
      <c r="N121" s="5"/>
      <c r="O121" s="4"/>
      <c r="P121" s="5"/>
      <c r="Q121" s="4"/>
      <c r="R121" s="4"/>
      <c r="T121" s="4"/>
      <c r="U121" s="12"/>
      <c r="V121" s="4"/>
      <c r="W121" s="4"/>
      <c r="X121" s="5"/>
      <c r="Y121" s="4"/>
      <c r="Z121" s="5"/>
      <c r="AA121" s="4"/>
      <c r="AB121" s="4"/>
      <c r="AC121" s="19"/>
      <c r="AD121" s="19"/>
    </row>
    <row r="122" spans="1:30">
      <c r="A122" s="21"/>
      <c r="B122" s="12">
        <v>45787</v>
      </c>
      <c r="C122" s="1" t="s">
        <v>158</v>
      </c>
      <c r="D122" s="13" t="s">
        <v>16</v>
      </c>
      <c r="E122" s="1" t="s">
        <v>26</v>
      </c>
      <c r="F122" s="13" t="str">
        <f>VLOOKUP(E122,'Master Kode'!$B$3:$D$13,2,0)</f>
        <v>HDPE Blue Drum Flakes</v>
      </c>
      <c r="G122" s="1">
        <v>2440</v>
      </c>
      <c r="H122" s="1" t="s">
        <v>9</v>
      </c>
      <c r="I122" s="12">
        <v>45796</v>
      </c>
      <c r="K122" s="4"/>
      <c r="L122" s="3"/>
      <c r="M122" s="4"/>
      <c r="N122" s="5"/>
      <c r="O122" s="4"/>
      <c r="P122" s="5"/>
      <c r="Q122" s="4"/>
      <c r="R122" s="4"/>
      <c r="T122" s="4"/>
      <c r="U122" s="12"/>
      <c r="V122" s="4"/>
      <c r="W122" s="4"/>
      <c r="X122" s="5"/>
      <c r="Y122" s="4"/>
      <c r="Z122" s="5"/>
      <c r="AA122" s="4"/>
      <c r="AB122" s="4"/>
      <c r="AC122" s="19"/>
      <c r="AD122" s="19"/>
    </row>
    <row r="123" spans="1:30">
      <c r="A123" s="21"/>
      <c r="B123" s="12">
        <v>45788</v>
      </c>
      <c r="C123" s="1" t="s">
        <v>159</v>
      </c>
      <c r="D123" s="13" t="s">
        <v>19</v>
      </c>
      <c r="E123" s="1" t="s">
        <v>11</v>
      </c>
      <c r="F123" s="13" t="str">
        <f>VLOOKUP(E123,'Master Kode'!$B$3:$D$13,2,0)</f>
        <v>PET Blue Flakes</v>
      </c>
      <c r="G123" s="1">
        <v>3110</v>
      </c>
      <c r="H123" s="1" t="s">
        <v>9</v>
      </c>
      <c r="I123" s="12">
        <v>45797</v>
      </c>
      <c r="K123" s="4"/>
      <c r="L123" s="3"/>
      <c r="M123" s="4"/>
      <c r="N123" s="5"/>
      <c r="O123" s="4"/>
      <c r="P123" s="5"/>
      <c r="Q123" s="4"/>
      <c r="R123" s="4"/>
      <c r="T123" s="4"/>
      <c r="U123" s="12"/>
      <c r="V123" s="4"/>
      <c r="W123" s="4"/>
      <c r="X123" s="5"/>
      <c r="Y123" s="4"/>
      <c r="Z123" s="5"/>
      <c r="AA123" s="4"/>
      <c r="AB123" s="4"/>
      <c r="AC123" s="19"/>
      <c r="AD123" s="19"/>
    </row>
    <row r="124" spans="1:30">
      <c r="A124" s="21"/>
      <c r="B124" s="12">
        <v>45789</v>
      </c>
      <c r="C124" s="1" t="s">
        <v>160</v>
      </c>
      <c r="D124" s="13" t="s">
        <v>22</v>
      </c>
      <c r="E124" s="1" t="s">
        <v>7</v>
      </c>
      <c r="F124" s="13" t="str">
        <f>VLOOKUP(E124,'Master Kode'!$B$3:$D$13,2,0)</f>
        <v>PET Clear Flakes</v>
      </c>
      <c r="G124" s="1">
        <v>2680</v>
      </c>
      <c r="H124" s="1" t="s">
        <v>9</v>
      </c>
      <c r="I124" s="12">
        <v>45798</v>
      </c>
      <c r="K124" s="4"/>
      <c r="L124" s="3"/>
      <c r="M124" s="4"/>
      <c r="N124" s="5"/>
      <c r="O124" s="4"/>
      <c r="P124" s="5"/>
      <c r="Q124" s="4"/>
      <c r="R124" s="4"/>
      <c r="T124" s="4"/>
      <c r="U124" s="12"/>
      <c r="V124" s="4"/>
      <c r="W124" s="4"/>
      <c r="X124" s="5"/>
      <c r="Y124" s="4"/>
      <c r="Z124" s="5"/>
      <c r="AA124" s="4"/>
      <c r="AB124" s="4"/>
      <c r="AC124" s="19"/>
      <c r="AD124" s="19"/>
    </row>
    <row r="125" spans="1:30">
      <c r="A125" s="21"/>
      <c r="B125" s="12">
        <v>45790</v>
      </c>
      <c r="C125" s="1" t="s">
        <v>161</v>
      </c>
      <c r="D125" s="13" t="s">
        <v>25</v>
      </c>
      <c r="E125" s="1" t="s">
        <v>28</v>
      </c>
      <c r="F125" s="13" t="str">
        <f>VLOOKUP(E125,'Master Kode'!$B$3:$D$13,2,0)</f>
        <v>PET Mixed Color Flakes</v>
      </c>
      <c r="G125" s="1">
        <v>1870</v>
      </c>
      <c r="H125" s="1" t="s">
        <v>9</v>
      </c>
      <c r="I125" s="12">
        <v>45799</v>
      </c>
      <c r="K125" s="4"/>
      <c r="L125" s="3"/>
      <c r="M125" s="4"/>
      <c r="N125" s="5"/>
      <c r="O125" s="4"/>
      <c r="P125" s="5"/>
      <c r="Q125" s="4"/>
      <c r="R125" s="4"/>
      <c r="T125" s="4"/>
      <c r="U125" s="12"/>
      <c r="V125" s="4"/>
      <c r="W125" s="4"/>
      <c r="X125" s="5"/>
      <c r="Y125" s="4"/>
      <c r="Z125" s="5"/>
      <c r="AA125" s="4"/>
      <c r="AB125" s="4"/>
      <c r="AC125" s="19"/>
      <c r="AD125" s="19"/>
    </row>
    <row r="126" spans="1:30">
      <c r="A126" s="21"/>
      <c r="B126" s="12">
        <v>45791</v>
      </c>
      <c r="C126" s="1" t="s">
        <v>162</v>
      </c>
      <c r="D126" s="13" t="s">
        <v>6</v>
      </c>
      <c r="E126" s="1" t="s">
        <v>14</v>
      </c>
      <c r="F126" s="13" t="str">
        <f>VLOOKUP(E126,'Master Kode'!$B$3:$D$13,2,0)</f>
        <v>HDPE Natural Flakes</v>
      </c>
      <c r="G126" s="1">
        <v>2330</v>
      </c>
      <c r="H126" s="1" t="s">
        <v>9</v>
      </c>
      <c r="I126" s="12">
        <v>45800</v>
      </c>
      <c r="K126" s="4"/>
      <c r="L126" s="3"/>
      <c r="M126" s="4"/>
      <c r="N126" s="5"/>
      <c r="O126" s="4"/>
      <c r="P126" s="5"/>
      <c r="Q126" s="4"/>
      <c r="R126" s="4"/>
      <c r="T126" s="4"/>
      <c r="U126" s="12"/>
      <c r="V126" s="4"/>
      <c r="W126" s="4"/>
      <c r="X126" s="5"/>
      <c r="Y126" s="4"/>
      <c r="Z126" s="5"/>
      <c r="AA126" s="4"/>
      <c r="AB126" s="4"/>
      <c r="AC126" s="19"/>
      <c r="AD126" s="19"/>
    </row>
    <row r="127" spans="1:30">
      <c r="A127" s="21"/>
      <c r="B127" s="12">
        <v>45792</v>
      </c>
      <c r="C127" s="1" t="s">
        <v>163</v>
      </c>
      <c r="D127" s="13" t="s">
        <v>10</v>
      </c>
      <c r="E127" s="1" t="s">
        <v>32</v>
      </c>
      <c r="F127" s="13" t="str">
        <f>VLOOKUP(E127,'Master Kode'!$B$3:$D$13,2,0)</f>
        <v>HDPE Bottle Cap Flakes</v>
      </c>
      <c r="G127" s="1">
        <v>1765</v>
      </c>
      <c r="H127" s="1" t="s">
        <v>9</v>
      </c>
      <c r="I127" s="12">
        <v>45801</v>
      </c>
      <c r="K127" s="4"/>
      <c r="L127" s="3"/>
      <c r="M127" s="4"/>
      <c r="N127" s="5"/>
      <c r="O127" s="4"/>
      <c r="P127" s="5"/>
      <c r="Q127" s="4"/>
      <c r="R127" s="4"/>
      <c r="T127" s="4"/>
      <c r="U127" s="12"/>
      <c r="V127" s="4"/>
      <c r="W127" s="4"/>
      <c r="X127" s="5"/>
      <c r="Y127" s="4"/>
      <c r="Z127" s="5"/>
      <c r="AA127" s="4"/>
      <c r="AB127" s="4"/>
      <c r="AC127" s="19"/>
      <c r="AD127" s="19"/>
    </row>
    <row r="128" spans="1:30">
      <c r="A128" s="21"/>
      <c r="B128" s="12">
        <v>45793</v>
      </c>
      <c r="C128" s="1" t="s">
        <v>164</v>
      </c>
      <c r="D128" s="13" t="s">
        <v>13</v>
      </c>
      <c r="E128" s="1" t="s">
        <v>20</v>
      </c>
      <c r="F128" s="13" t="str">
        <f>VLOOKUP(E128,'Master Kode'!$B$3:$D$13,2,0)</f>
        <v>PP Injection Flakes</v>
      </c>
      <c r="G128" s="1">
        <v>2950</v>
      </c>
      <c r="H128" s="1" t="s">
        <v>9</v>
      </c>
      <c r="I128" s="12">
        <v>45802</v>
      </c>
      <c r="K128" s="4"/>
      <c r="L128" s="3"/>
      <c r="M128" s="4"/>
      <c r="N128" s="5"/>
      <c r="O128" s="4"/>
      <c r="P128" s="5"/>
      <c r="Q128" s="4"/>
      <c r="R128" s="4"/>
      <c r="T128" s="4"/>
      <c r="U128" s="12"/>
      <c r="V128" s="4"/>
      <c r="W128" s="4"/>
      <c r="X128" s="5"/>
      <c r="Y128" s="4"/>
      <c r="Z128" s="5"/>
      <c r="AA128" s="4"/>
      <c r="AB128" s="4"/>
      <c r="AC128" s="19"/>
      <c r="AD128" s="19"/>
    </row>
    <row r="129" spans="1:30">
      <c r="A129" s="21"/>
      <c r="B129" s="12">
        <v>45794</v>
      </c>
      <c r="C129" s="1" t="s">
        <v>165</v>
      </c>
      <c r="D129" s="13" t="s">
        <v>16</v>
      </c>
      <c r="E129" s="1" t="s">
        <v>23</v>
      </c>
      <c r="F129" s="13" t="str">
        <f>VLOOKUP(E129,'Master Kode'!$B$3:$D$13,2,0)</f>
        <v>PET Green Flakes</v>
      </c>
      <c r="G129" s="1">
        <v>3210</v>
      </c>
      <c r="H129" s="1" t="s">
        <v>9</v>
      </c>
      <c r="I129" s="12">
        <v>45803</v>
      </c>
      <c r="K129" s="4"/>
      <c r="L129" s="3"/>
      <c r="M129" s="4"/>
      <c r="N129" s="5"/>
      <c r="O129" s="4"/>
      <c r="P129" s="5"/>
      <c r="Q129" s="4"/>
      <c r="R129" s="4"/>
      <c r="T129" s="4"/>
      <c r="U129" s="12"/>
      <c r="V129" s="4"/>
      <c r="W129" s="4"/>
      <c r="X129" s="5"/>
      <c r="Y129" s="4"/>
      <c r="Z129" s="5"/>
      <c r="AA129" s="4"/>
      <c r="AB129" s="4"/>
      <c r="AC129" s="19"/>
      <c r="AD129" s="19"/>
    </row>
    <row r="130" spans="1:30">
      <c r="A130" s="21"/>
      <c r="B130" s="12">
        <v>45795</v>
      </c>
      <c r="C130" s="1" t="s">
        <v>166</v>
      </c>
      <c r="D130" s="13" t="s">
        <v>19</v>
      </c>
      <c r="E130" s="1" t="s">
        <v>34</v>
      </c>
      <c r="F130" s="13" t="str">
        <f>VLOOKUP(E130,'Master Kode'!$B$3:$D$13,2,0)</f>
        <v>PET Hot Washed Flakes</v>
      </c>
      <c r="G130" s="1">
        <v>2080</v>
      </c>
      <c r="H130" s="1" t="s">
        <v>9</v>
      </c>
      <c r="I130" s="12">
        <v>45804</v>
      </c>
      <c r="K130" s="4"/>
      <c r="L130" s="3"/>
      <c r="M130" s="4"/>
      <c r="N130" s="5"/>
      <c r="O130" s="4"/>
      <c r="P130" s="5"/>
      <c r="Q130" s="4"/>
      <c r="R130" s="4"/>
      <c r="T130" s="4"/>
      <c r="U130" s="12"/>
      <c r="V130" s="4"/>
      <c r="W130" s="4"/>
      <c r="X130" s="5"/>
      <c r="Y130" s="4"/>
      <c r="Z130" s="5"/>
      <c r="AA130" s="4"/>
      <c r="AB130" s="4"/>
      <c r="AC130" s="19"/>
      <c r="AD130" s="19"/>
    </row>
    <row r="131" spans="1:30">
      <c r="A131" s="21"/>
      <c r="B131" s="12">
        <v>45796</v>
      </c>
      <c r="C131" s="1" t="s">
        <v>167</v>
      </c>
      <c r="D131" s="13" t="s">
        <v>22</v>
      </c>
      <c r="E131" s="1" t="s">
        <v>17</v>
      </c>
      <c r="F131" s="13" t="str">
        <f>VLOOKUP(E131,'Master Kode'!$B$3:$D$13,2,0)</f>
        <v>HDPE Mixed Color Flakes</v>
      </c>
      <c r="G131" s="1">
        <v>2650</v>
      </c>
      <c r="H131" s="1" t="s">
        <v>9</v>
      </c>
      <c r="I131" s="12">
        <v>45805</v>
      </c>
      <c r="K131" s="4"/>
      <c r="L131" s="3"/>
      <c r="M131" s="4"/>
      <c r="N131" s="5"/>
      <c r="O131" s="4"/>
      <c r="P131" s="5"/>
      <c r="Q131" s="4"/>
      <c r="R131" s="4"/>
      <c r="T131" s="4"/>
      <c r="U131" s="12"/>
      <c r="V131" s="4"/>
      <c r="W131" s="4"/>
      <c r="X131" s="5"/>
      <c r="Y131" s="4"/>
      <c r="Z131" s="5"/>
      <c r="AA131" s="4"/>
      <c r="AB131" s="4"/>
      <c r="AC131" s="19"/>
      <c r="AD131" s="19"/>
    </row>
    <row r="132" spans="1:30">
      <c r="A132" s="21"/>
      <c r="B132" s="12">
        <v>45804</v>
      </c>
      <c r="C132" s="1" t="s">
        <v>168</v>
      </c>
      <c r="D132" s="13" t="s">
        <v>6</v>
      </c>
      <c r="E132" s="1" t="s">
        <v>7</v>
      </c>
      <c r="F132" s="13" t="str">
        <f>VLOOKUP(E132,'Master Kode'!$B$3:$D$13,2,0)</f>
        <v>PET Clear Flakes</v>
      </c>
      <c r="G132" s="1">
        <v>2150</v>
      </c>
      <c r="H132" s="1" t="s">
        <v>9</v>
      </c>
      <c r="I132" s="12">
        <v>45811</v>
      </c>
      <c r="K132" s="4"/>
      <c r="L132" s="3"/>
      <c r="M132" s="4"/>
      <c r="N132" s="5"/>
      <c r="O132" s="4"/>
      <c r="P132" s="5"/>
      <c r="Q132" s="4"/>
      <c r="R132" s="4"/>
      <c r="T132" s="4"/>
      <c r="U132" s="12"/>
      <c r="V132" s="4"/>
      <c r="W132" s="4"/>
      <c r="X132" s="5"/>
      <c r="Y132" s="4"/>
      <c r="Z132" s="5"/>
      <c r="AA132" s="4"/>
      <c r="AB132" s="4"/>
      <c r="AC132" s="19"/>
      <c r="AD132" s="19"/>
    </row>
    <row r="133" spans="1:30">
      <c r="A133" s="21"/>
      <c r="B133" s="12">
        <v>45804</v>
      </c>
      <c r="C133" s="1" t="s">
        <v>169</v>
      </c>
      <c r="D133" s="13" t="s">
        <v>10</v>
      </c>
      <c r="E133" s="1" t="s">
        <v>14</v>
      </c>
      <c r="F133" s="13" t="str">
        <f>VLOOKUP(E133,'Master Kode'!$B$3:$D$13,2,0)</f>
        <v>HDPE Natural Flakes</v>
      </c>
      <c r="G133" s="1">
        <v>1890</v>
      </c>
      <c r="H133" s="1" t="s">
        <v>9</v>
      </c>
      <c r="I133" s="12">
        <v>45812</v>
      </c>
      <c r="K133" s="4"/>
      <c r="L133" s="3"/>
      <c r="M133" s="4"/>
      <c r="N133" s="5"/>
      <c r="O133" s="4"/>
      <c r="P133" s="5"/>
      <c r="Q133" s="4"/>
      <c r="R133" s="4"/>
      <c r="T133" s="4"/>
      <c r="U133" s="12"/>
      <c r="V133" s="4"/>
      <c r="W133" s="4"/>
      <c r="X133" s="5"/>
      <c r="Y133" s="4"/>
      <c r="Z133" s="5"/>
      <c r="AA133" s="4"/>
      <c r="AB133" s="4"/>
      <c r="AC133" s="19"/>
      <c r="AD133" s="19"/>
    </row>
    <row r="134" spans="1:30">
      <c r="A134" s="21"/>
      <c r="B134" s="12">
        <v>45805</v>
      </c>
      <c r="C134" s="1" t="s">
        <v>170</v>
      </c>
      <c r="D134" s="13" t="s">
        <v>13</v>
      </c>
      <c r="E134" s="1" t="s">
        <v>11</v>
      </c>
      <c r="F134" s="13" t="str">
        <f>VLOOKUP(E134,'Master Kode'!$B$3:$D$13,2,0)</f>
        <v>PET Blue Flakes</v>
      </c>
      <c r="G134" s="1">
        <v>2750</v>
      </c>
      <c r="H134" s="1" t="s">
        <v>9</v>
      </c>
      <c r="I134" s="12">
        <v>45813</v>
      </c>
      <c r="K134" s="4"/>
      <c r="L134" s="3"/>
      <c r="M134" s="4"/>
      <c r="N134" s="5"/>
      <c r="O134" s="4"/>
      <c r="P134" s="5"/>
      <c r="Q134" s="4"/>
      <c r="R134" s="4"/>
      <c r="T134" s="4"/>
      <c r="U134" s="12"/>
      <c r="V134" s="4"/>
      <c r="W134" s="4"/>
      <c r="X134" s="5"/>
      <c r="Y134" s="4"/>
      <c r="Z134" s="5"/>
      <c r="AA134" s="4"/>
      <c r="AB134" s="4"/>
      <c r="AC134" s="19"/>
      <c r="AD134" s="19"/>
    </row>
    <row r="135" spans="1:30">
      <c r="A135" s="21"/>
      <c r="B135" s="12">
        <v>45806</v>
      </c>
      <c r="C135" s="1" t="s">
        <v>171</v>
      </c>
      <c r="D135" s="13" t="s">
        <v>16</v>
      </c>
      <c r="E135" s="1" t="s">
        <v>17</v>
      </c>
      <c r="F135" s="13" t="str">
        <f>VLOOKUP(E135,'Master Kode'!$B$3:$D$13,2,0)</f>
        <v>HDPE Mixed Color Flakes</v>
      </c>
      <c r="G135" s="1">
        <v>3025</v>
      </c>
      <c r="H135" s="1" t="s">
        <v>9</v>
      </c>
      <c r="I135" s="12">
        <v>45814</v>
      </c>
      <c r="K135" s="4"/>
      <c r="L135" s="3"/>
      <c r="M135" s="4"/>
      <c r="N135" s="5"/>
      <c r="O135" s="4"/>
      <c r="P135" s="5"/>
      <c r="Q135" s="4"/>
      <c r="R135" s="4"/>
      <c r="T135" s="4"/>
      <c r="U135" s="12"/>
      <c r="V135" s="4"/>
      <c r="W135" s="4"/>
      <c r="X135" s="5"/>
      <c r="Y135" s="4"/>
      <c r="Z135" s="5"/>
      <c r="AA135" s="4"/>
      <c r="AB135" s="4"/>
      <c r="AC135" s="19"/>
      <c r="AD135" s="19"/>
    </row>
    <row r="136" spans="1:30">
      <c r="A136" s="21"/>
      <c r="B136" s="12">
        <v>45806</v>
      </c>
      <c r="C136" s="1" t="s">
        <v>172</v>
      </c>
      <c r="D136" s="13" t="s">
        <v>19</v>
      </c>
      <c r="E136" s="1" t="s">
        <v>20</v>
      </c>
      <c r="F136" s="13" t="str">
        <f>VLOOKUP(E136,'Master Kode'!$B$3:$D$13,2,0)</f>
        <v>PP Injection Flakes</v>
      </c>
      <c r="G136" s="1">
        <v>1540</v>
      </c>
      <c r="H136" s="1" t="s">
        <v>9</v>
      </c>
      <c r="I136" s="12">
        <v>45815</v>
      </c>
      <c r="K136" s="4"/>
      <c r="L136" s="3"/>
      <c r="M136" s="4"/>
      <c r="N136" s="5"/>
      <c r="O136" s="4"/>
      <c r="P136" s="5"/>
      <c r="Q136" s="4"/>
      <c r="R136" s="4"/>
      <c r="T136" s="4"/>
      <c r="U136" s="12"/>
      <c r="V136" s="4"/>
      <c r="W136" s="4"/>
      <c r="X136" s="5"/>
      <c r="Y136" s="4"/>
      <c r="Z136" s="5"/>
      <c r="AA136" s="4"/>
      <c r="AB136" s="4"/>
      <c r="AC136" s="19"/>
      <c r="AD136" s="19"/>
    </row>
    <row r="137" spans="1:30">
      <c r="A137" s="21"/>
      <c r="B137" s="12">
        <v>45807</v>
      </c>
      <c r="C137" s="1" t="s">
        <v>173</v>
      </c>
      <c r="D137" s="13" t="s">
        <v>22</v>
      </c>
      <c r="E137" s="1" t="s">
        <v>23</v>
      </c>
      <c r="F137" s="13" t="str">
        <f>VLOOKUP(E137,'Master Kode'!$B$3:$D$13,2,0)</f>
        <v>PET Green Flakes</v>
      </c>
      <c r="G137" s="1">
        <v>3320</v>
      </c>
      <c r="H137" s="1" t="s">
        <v>9</v>
      </c>
      <c r="I137" s="12">
        <v>45816</v>
      </c>
      <c r="K137" s="4"/>
      <c r="L137" s="3"/>
      <c r="M137" s="4"/>
      <c r="N137" s="5"/>
      <c r="O137" s="4"/>
      <c r="P137" s="5"/>
      <c r="Q137" s="4"/>
      <c r="R137" s="4"/>
      <c r="T137" s="4"/>
      <c r="U137" s="12"/>
      <c r="V137" s="4"/>
      <c r="W137" s="4"/>
      <c r="X137" s="5"/>
      <c r="Y137" s="4"/>
      <c r="Z137" s="5"/>
      <c r="AA137" s="4"/>
      <c r="AB137" s="4"/>
      <c r="AC137" s="19"/>
      <c r="AD137" s="19"/>
    </row>
    <row r="138" spans="1:30">
      <c r="A138" s="21"/>
      <c r="B138" s="12">
        <v>45808</v>
      </c>
      <c r="C138" s="1" t="s">
        <v>174</v>
      </c>
      <c r="D138" s="13" t="s">
        <v>25</v>
      </c>
      <c r="E138" s="1" t="s">
        <v>26</v>
      </c>
      <c r="F138" s="13" t="str">
        <f>VLOOKUP(E138,'Master Kode'!$B$3:$D$13,2,0)</f>
        <v>HDPE Blue Drum Flakes</v>
      </c>
      <c r="G138" s="1">
        <v>1780</v>
      </c>
      <c r="H138" s="1" t="s">
        <v>9</v>
      </c>
      <c r="I138" s="12">
        <v>45817</v>
      </c>
      <c r="K138" s="4"/>
      <c r="L138" s="3"/>
      <c r="M138" s="4"/>
      <c r="N138" s="5"/>
      <c r="O138" s="4"/>
      <c r="P138" s="5"/>
      <c r="Q138" s="4"/>
      <c r="R138" s="4"/>
      <c r="T138" s="4"/>
      <c r="U138" s="12"/>
      <c r="V138" s="4"/>
      <c r="W138" s="4"/>
      <c r="X138" s="5"/>
      <c r="Y138" s="4"/>
      <c r="Z138" s="5"/>
      <c r="AA138" s="4"/>
      <c r="AB138" s="4"/>
      <c r="AC138" s="19"/>
      <c r="AD138" s="19"/>
    </row>
    <row r="139" spans="1:30">
      <c r="A139" s="21"/>
      <c r="B139" s="12">
        <v>45809</v>
      </c>
      <c r="C139" s="1" t="s">
        <v>175</v>
      </c>
      <c r="D139" s="13" t="s">
        <v>6</v>
      </c>
      <c r="E139" s="1" t="s">
        <v>28</v>
      </c>
      <c r="F139" s="13" t="str">
        <f>VLOOKUP(E139,'Master Kode'!$B$3:$D$13,2,0)</f>
        <v>PET Mixed Color Flakes</v>
      </c>
      <c r="G139" s="1">
        <v>2980</v>
      </c>
      <c r="H139" s="1" t="s">
        <v>9</v>
      </c>
      <c r="I139" s="12">
        <v>45818</v>
      </c>
      <c r="K139" s="4"/>
      <c r="L139" s="3"/>
      <c r="M139" s="4"/>
      <c r="N139" s="5"/>
      <c r="O139" s="4"/>
      <c r="P139" s="5"/>
      <c r="Q139" s="4"/>
      <c r="R139" s="4"/>
      <c r="T139" s="4"/>
      <c r="U139" s="12"/>
      <c r="V139" s="4"/>
      <c r="W139" s="4"/>
      <c r="X139" s="5"/>
      <c r="Y139" s="4"/>
      <c r="Z139" s="5"/>
      <c r="AA139" s="4"/>
      <c r="AB139" s="4"/>
      <c r="AC139" s="19"/>
      <c r="AD139" s="19"/>
    </row>
    <row r="140" spans="1:30">
      <c r="A140" s="21"/>
      <c r="B140" s="12">
        <v>45810</v>
      </c>
      <c r="C140" s="1" t="s">
        <v>176</v>
      </c>
      <c r="D140" s="13" t="s">
        <v>10</v>
      </c>
      <c r="E140" s="1" t="s">
        <v>30</v>
      </c>
      <c r="F140" s="13" t="str">
        <f>VLOOKUP(E140,'Master Kode'!$B$3:$D$13,2,0)</f>
        <v>PP White Flakes</v>
      </c>
      <c r="G140" s="1">
        <v>2410</v>
      </c>
      <c r="H140" s="1" t="s">
        <v>9</v>
      </c>
      <c r="I140" s="12">
        <v>45819</v>
      </c>
      <c r="K140" s="4"/>
      <c r="L140" s="3"/>
      <c r="M140" s="4"/>
      <c r="N140" s="5"/>
      <c r="O140" s="4"/>
      <c r="P140" s="5"/>
      <c r="Q140" s="4"/>
      <c r="R140" s="4"/>
      <c r="T140" s="4"/>
      <c r="U140" s="12"/>
      <c r="V140" s="4"/>
      <c r="W140" s="4"/>
      <c r="X140" s="5"/>
      <c r="Y140" s="4"/>
      <c r="Z140" s="5"/>
      <c r="AA140" s="4"/>
      <c r="AB140" s="4"/>
      <c r="AC140" s="19"/>
      <c r="AD140" s="19"/>
    </row>
    <row r="141" spans="1:30">
      <c r="A141" s="21"/>
      <c r="B141" s="12">
        <v>45811</v>
      </c>
      <c r="C141" s="1" t="s">
        <v>177</v>
      </c>
      <c r="D141" s="13" t="s">
        <v>13</v>
      </c>
      <c r="E141" s="1" t="s">
        <v>34</v>
      </c>
      <c r="F141" s="13" t="str">
        <f>VLOOKUP(E141,'Master Kode'!$B$3:$D$13,2,0)</f>
        <v>PET Hot Washed Flakes</v>
      </c>
      <c r="G141" s="1">
        <v>3650</v>
      </c>
      <c r="H141" s="1" t="s">
        <v>9</v>
      </c>
      <c r="I141" s="12">
        <v>45820</v>
      </c>
      <c r="K141" s="4"/>
      <c r="L141" s="3"/>
      <c r="M141" s="4"/>
      <c r="N141" s="5"/>
      <c r="O141" s="4"/>
      <c r="P141" s="5"/>
      <c r="Q141" s="4"/>
      <c r="R141" s="4"/>
      <c r="T141" s="4"/>
      <c r="U141" s="12"/>
      <c r="V141" s="4"/>
      <c r="W141" s="4"/>
      <c r="X141" s="5"/>
      <c r="Y141" s="4"/>
      <c r="Z141" s="5"/>
      <c r="AA141" s="4"/>
      <c r="AB141" s="4"/>
      <c r="AC141" s="19"/>
      <c r="AD141" s="19"/>
    </row>
    <row r="142" spans="1:30">
      <c r="A142" s="21"/>
      <c r="B142" s="12">
        <v>45812</v>
      </c>
      <c r="C142" s="1" t="s">
        <v>178</v>
      </c>
      <c r="D142" s="13" t="s">
        <v>16</v>
      </c>
      <c r="E142" s="1" t="s">
        <v>7</v>
      </c>
      <c r="F142" s="13" t="str">
        <f>VLOOKUP(E142,'Master Kode'!$B$3:$D$13,2,0)</f>
        <v>PET Clear Flakes</v>
      </c>
      <c r="G142" s="1">
        <v>1875</v>
      </c>
      <c r="H142" s="1" t="s">
        <v>9</v>
      </c>
      <c r="I142" s="12">
        <v>45821</v>
      </c>
      <c r="K142" s="4"/>
      <c r="L142" s="3"/>
      <c r="M142" s="4"/>
      <c r="N142" s="5"/>
      <c r="O142" s="4"/>
      <c r="P142" s="5"/>
      <c r="Q142" s="4"/>
      <c r="R142" s="4"/>
      <c r="T142" s="4"/>
      <c r="U142" s="12"/>
      <c r="V142" s="4"/>
      <c r="W142" s="4"/>
      <c r="X142" s="5"/>
      <c r="Y142" s="4"/>
      <c r="Z142" s="5"/>
      <c r="AA142" s="4"/>
      <c r="AB142" s="4"/>
      <c r="AC142" s="19"/>
      <c r="AD142" s="19"/>
    </row>
    <row r="143" spans="1:30">
      <c r="A143" s="21"/>
      <c r="B143" s="12">
        <v>45813</v>
      </c>
      <c r="C143" s="1" t="s">
        <v>179</v>
      </c>
      <c r="D143" s="13" t="s">
        <v>19</v>
      </c>
      <c r="E143" s="1" t="s">
        <v>14</v>
      </c>
      <c r="F143" s="13" t="str">
        <f>VLOOKUP(E143,'Master Kode'!$B$3:$D$13,2,0)</f>
        <v>HDPE Natural Flakes</v>
      </c>
      <c r="G143" s="1">
        <v>2100</v>
      </c>
      <c r="H143" s="1" t="s">
        <v>9</v>
      </c>
      <c r="I143" s="12">
        <v>45822</v>
      </c>
      <c r="K143" s="4"/>
      <c r="L143" s="3"/>
      <c r="M143" s="4"/>
      <c r="N143" s="5"/>
      <c r="O143" s="4"/>
      <c r="P143" s="5"/>
      <c r="Q143" s="4"/>
      <c r="R143" s="4"/>
      <c r="T143" s="4"/>
      <c r="U143" s="12"/>
      <c r="V143" s="4"/>
      <c r="W143" s="4"/>
      <c r="X143" s="5"/>
      <c r="Y143" s="4"/>
      <c r="Z143" s="5"/>
      <c r="AA143" s="4"/>
      <c r="AB143" s="4"/>
      <c r="AC143" s="19"/>
      <c r="AD143" s="19"/>
    </row>
    <row r="144" spans="1:30">
      <c r="A144" s="21"/>
      <c r="B144" s="12">
        <v>45814</v>
      </c>
      <c r="C144" s="1" t="s">
        <v>180</v>
      </c>
      <c r="D144" s="13" t="s">
        <v>22</v>
      </c>
      <c r="E144" s="1" t="s">
        <v>17</v>
      </c>
      <c r="F144" s="13" t="str">
        <f>VLOOKUP(E144,'Master Kode'!$B$3:$D$13,2,0)</f>
        <v>HDPE Mixed Color Flakes</v>
      </c>
      <c r="G144" s="1">
        <v>2990</v>
      </c>
      <c r="H144" s="1" t="s">
        <v>9</v>
      </c>
      <c r="I144" s="12">
        <v>45823</v>
      </c>
      <c r="K144" s="4"/>
      <c r="L144" s="3"/>
      <c r="M144" s="4"/>
      <c r="N144" s="5"/>
      <c r="O144" s="4"/>
      <c r="P144" s="5"/>
      <c r="Q144" s="4"/>
      <c r="R144" s="4"/>
      <c r="T144" s="4"/>
      <c r="U144" s="12"/>
      <c r="V144" s="4"/>
      <c r="W144" s="4"/>
      <c r="X144" s="5"/>
      <c r="Y144" s="4"/>
      <c r="Z144" s="5"/>
      <c r="AA144" s="4"/>
      <c r="AB144" s="4"/>
      <c r="AC144" s="19"/>
      <c r="AD144" s="19"/>
    </row>
    <row r="145" spans="1:30">
      <c r="A145" s="21"/>
      <c r="B145" s="12">
        <v>45815</v>
      </c>
      <c r="C145" s="1" t="s">
        <v>181</v>
      </c>
      <c r="D145" s="13" t="s">
        <v>25</v>
      </c>
      <c r="E145" s="1" t="s">
        <v>11</v>
      </c>
      <c r="F145" s="13" t="str">
        <f>VLOOKUP(E145,'Master Kode'!$B$3:$D$13,2,0)</f>
        <v>PET Blue Flakes</v>
      </c>
      <c r="G145" s="1">
        <v>2550</v>
      </c>
      <c r="H145" s="1" t="s">
        <v>9</v>
      </c>
      <c r="I145" s="12">
        <v>45824</v>
      </c>
      <c r="K145" s="4"/>
      <c r="L145" s="3"/>
      <c r="M145" s="4"/>
      <c r="N145" s="5"/>
      <c r="O145" s="4"/>
      <c r="P145" s="5"/>
      <c r="Q145" s="4"/>
      <c r="R145" s="4"/>
      <c r="T145" s="4"/>
      <c r="U145" s="12"/>
      <c r="V145" s="4"/>
      <c r="W145" s="4"/>
      <c r="X145" s="5"/>
      <c r="Y145" s="4"/>
      <c r="Z145" s="5"/>
      <c r="AA145" s="4"/>
      <c r="AB145" s="4"/>
      <c r="AC145" s="19"/>
      <c r="AD145" s="19"/>
    </row>
    <row r="146" spans="1:30">
      <c r="A146" s="21"/>
      <c r="B146" s="12">
        <v>45816</v>
      </c>
      <c r="C146" s="1" t="s">
        <v>182</v>
      </c>
      <c r="D146" s="13" t="s">
        <v>6</v>
      </c>
      <c r="E146" s="1" t="s">
        <v>23</v>
      </c>
      <c r="F146" s="13" t="str">
        <f>VLOOKUP(E146,'Master Kode'!$B$3:$D$13,2,0)</f>
        <v>PET Green Flakes</v>
      </c>
      <c r="G146" s="1">
        <v>3210</v>
      </c>
      <c r="H146" s="1" t="s">
        <v>9</v>
      </c>
      <c r="I146" s="12">
        <v>45825</v>
      </c>
      <c r="K146" s="4"/>
      <c r="L146" s="3"/>
      <c r="M146" s="4"/>
      <c r="N146" s="5"/>
      <c r="O146" s="4"/>
      <c r="P146" s="5"/>
      <c r="Q146" s="4"/>
      <c r="R146" s="4"/>
      <c r="T146" s="4"/>
      <c r="U146" s="12"/>
      <c r="V146" s="4"/>
      <c r="W146" s="4"/>
      <c r="X146" s="5"/>
      <c r="Y146" s="4"/>
      <c r="Z146" s="5"/>
      <c r="AA146" s="4"/>
      <c r="AB146" s="4"/>
      <c r="AC146" s="19"/>
      <c r="AD146" s="19"/>
    </row>
    <row r="147" spans="1:30">
      <c r="A147" s="21"/>
      <c r="B147" s="12">
        <v>45817</v>
      </c>
      <c r="C147" s="1" t="s">
        <v>183</v>
      </c>
      <c r="D147" s="13" t="s">
        <v>10</v>
      </c>
      <c r="E147" s="1" t="s">
        <v>20</v>
      </c>
      <c r="F147" s="13" t="str">
        <f>VLOOKUP(E147,'Master Kode'!$B$3:$D$13,2,0)</f>
        <v>PP Injection Flakes</v>
      </c>
      <c r="G147" s="1">
        <v>1980</v>
      </c>
      <c r="H147" s="1" t="s">
        <v>9</v>
      </c>
      <c r="I147" s="12">
        <v>45826</v>
      </c>
      <c r="K147" s="4"/>
      <c r="L147" s="3"/>
      <c r="M147" s="4"/>
      <c r="N147" s="5"/>
      <c r="O147" s="4"/>
      <c r="P147" s="5"/>
      <c r="Q147" s="4"/>
      <c r="R147" s="4"/>
      <c r="T147" s="4"/>
      <c r="U147" s="12"/>
      <c r="V147" s="4"/>
      <c r="W147" s="4"/>
      <c r="X147" s="5"/>
      <c r="Y147" s="4"/>
      <c r="Z147" s="5"/>
      <c r="AA147" s="4"/>
      <c r="AB147" s="4"/>
      <c r="AC147" s="19"/>
      <c r="AD147" s="19"/>
    </row>
    <row r="148" spans="1:30">
      <c r="A148" s="21"/>
      <c r="B148" s="12">
        <v>45818</v>
      </c>
      <c r="C148" s="1" t="s">
        <v>184</v>
      </c>
      <c r="D148" s="13" t="s">
        <v>13</v>
      </c>
      <c r="E148" s="1" t="s">
        <v>26</v>
      </c>
      <c r="F148" s="13" t="str">
        <f>VLOOKUP(E148,'Master Kode'!$B$3:$D$13,2,0)</f>
        <v>HDPE Blue Drum Flakes</v>
      </c>
      <c r="G148" s="1">
        <v>1420</v>
      </c>
      <c r="H148" s="1" t="s">
        <v>9</v>
      </c>
      <c r="I148" s="12">
        <v>45827</v>
      </c>
      <c r="K148" s="4"/>
      <c r="L148" s="3"/>
      <c r="M148" s="4"/>
      <c r="N148" s="5"/>
      <c r="O148" s="4"/>
      <c r="P148" s="5"/>
      <c r="Q148" s="4"/>
      <c r="R148" s="4"/>
      <c r="T148" s="4"/>
      <c r="U148" s="12"/>
      <c r="V148" s="4"/>
      <c r="W148" s="4"/>
      <c r="X148" s="5"/>
      <c r="Y148" s="4"/>
      <c r="Z148" s="5"/>
      <c r="AA148" s="4"/>
      <c r="AB148" s="4"/>
      <c r="AC148" s="19"/>
      <c r="AD148" s="19"/>
    </row>
    <row r="149" spans="1:30">
      <c r="A149" s="21"/>
      <c r="B149" s="12">
        <v>45819</v>
      </c>
      <c r="C149" s="1" t="s">
        <v>185</v>
      </c>
      <c r="D149" s="13" t="s">
        <v>16</v>
      </c>
      <c r="E149" s="1" t="s">
        <v>28</v>
      </c>
      <c r="F149" s="13" t="str">
        <f>VLOOKUP(E149,'Master Kode'!$B$3:$D$13,2,0)</f>
        <v>PET Mixed Color Flakes</v>
      </c>
      <c r="G149" s="1">
        <v>2890</v>
      </c>
      <c r="H149" s="1" t="s">
        <v>9</v>
      </c>
      <c r="I149" s="12">
        <v>45828</v>
      </c>
      <c r="K149" s="4"/>
      <c r="L149" s="3"/>
      <c r="M149" s="4"/>
      <c r="N149" s="5"/>
      <c r="O149" s="4"/>
      <c r="P149" s="5"/>
      <c r="Q149" s="4"/>
      <c r="R149" s="4"/>
      <c r="T149" s="4"/>
      <c r="U149" s="12"/>
      <c r="V149" s="4"/>
      <c r="W149" s="4"/>
      <c r="X149" s="5"/>
      <c r="Y149" s="4"/>
      <c r="Z149" s="5"/>
      <c r="AA149" s="4"/>
      <c r="AB149" s="4"/>
      <c r="AC149" s="19"/>
      <c r="AD149" s="19"/>
    </row>
    <row r="150" spans="1:30">
      <c r="A150" s="21"/>
      <c r="B150" s="12">
        <v>45820</v>
      </c>
      <c r="C150" s="1" t="s">
        <v>186</v>
      </c>
      <c r="D150" s="13" t="s">
        <v>19</v>
      </c>
      <c r="E150" s="1" t="s">
        <v>30</v>
      </c>
      <c r="F150" s="13" t="str">
        <f>VLOOKUP(E150,'Master Kode'!$B$3:$D$13,2,0)</f>
        <v>PP White Flakes</v>
      </c>
      <c r="G150" s="1">
        <v>2470</v>
      </c>
      <c r="H150" s="1" t="s">
        <v>9</v>
      </c>
      <c r="I150" s="12">
        <v>45829</v>
      </c>
      <c r="K150" s="4"/>
      <c r="L150" s="3"/>
      <c r="M150" s="4"/>
      <c r="N150" s="5"/>
      <c r="O150" s="4"/>
      <c r="P150" s="5"/>
      <c r="Q150" s="4"/>
      <c r="R150" s="4"/>
      <c r="T150" s="4"/>
      <c r="U150" s="12"/>
      <c r="V150" s="4"/>
      <c r="W150" s="4"/>
      <c r="X150" s="5"/>
      <c r="Y150" s="4"/>
      <c r="Z150" s="5"/>
      <c r="AA150" s="4"/>
      <c r="AB150" s="4"/>
      <c r="AC150" s="19"/>
      <c r="AD150" s="19"/>
    </row>
    <row r="151" spans="1:30">
      <c r="A151" s="21"/>
      <c r="B151" s="12">
        <v>45821</v>
      </c>
      <c r="C151" s="1" t="s">
        <v>187</v>
      </c>
      <c r="D151" s="13" t="s">
        <v>22</v>
      </c>
      <c r="E151" s="1" t="s">
        <v>34</v>
      </c>
      <c r="F151" s="13" t="str">
        <f>VLOOKUP(E151,'Master Kode'!$B$3:$D$13,2,0)</f>
        <v>PET Hot Washed Flakes</v>
      </c>
      <c r="G151" s="1">
        <v>3750</v>
      </c>
      <c r="H151" s="1" t="s">
        <v>9</v>
      </c>
      <c r="I151" s="12">
        <v>45830</v>
      </c>
      <c r="K151" s="4"/>
      <c r="L151" s="3"/>
      <c r="M151" s="4"/>
      <c r="N151" s="5"/>
      <c r="O151" s="4"/>
      <c r="P151" s="5"/>
      <c r="Q151" s="4"/>
      <c r="R151" s="4"/>
      <c r="T151" s="4"/>
      <c r="U151" s="12"/>
      <c r="V151" s="4"/>
      <c r="W151" s="4"/>
      <c r="X151" s="5"/>
      <c r="Y151" s="4"/>
      <c r="Z151" s="5"/>
      <c r="AA151" s="4"/>
      <c r="AB151" s="4"/>
      <c r="AC151" s="19"/>
      <c r="AD151" s="19"/>
    </row>
    <row r="152" spans="1:30">
      <c r="A152" s="21"/>
      <c r="B152" s="12">
        <v>45822</v>
      </c>
      <c r="C152" s="1" t="s">
        <v>188</v>
      </c>
      <c r="D152" s="13" t="s">
        <v>25</v>
      </c>
      <c r="E152" s="1" t="s">
        <v>7</v>
      </c>
      <c r="F152" s="13" t="str">
        <f>VLOOKUP(E152,'Master Kode'!$B$3:$D$13,2,0)</f>
        <v>PET Clear Flakes</v>
      </c>
      <c r="G152" s="1">
        <v>2230</v>
      </c>
      <c r="H152" s="1" t="s">
        <v>9</v>
      </c>
      <c r="I152" s="12">
        <v>45831</v>
      </c>
      <c r="K152" s="4"/>
      <c r="L152" s="3"/>
      <c r="M152" s="4"/>
      <c r="N152" s="5"/>
      <c r="O152" s="4"/>
      <c r="P152" s="5"/>
      <c r="Q152" s="4"/>
      <c r="R152" s="4"/>
      <c r="T152" s="4"/>
      <c r="U152" s="12"/>
      <c r="V152" s="4"/>
      <c r="W152" s="4"/>
      <c r="X152" s="5"/>
      <c r="Y152" s="4"/>
      <c r="Z152" s="5"/>
      <c r="AA152" s="4"/>
      <c r="AB152" s="4"/>
      <c r="AC152" s="19"/>
      <c r="AD152" s="19"/>
    </row>
    <row r="153" spans="1:30">
      <c r="A153" s="21"/>
      <c r="B153" s="12">
        <v>45823</v>
      </c>
      <c r="C153" s="1" t="s">
        <v>189</v>
      </c>
      <c r="D153" s="13" t="s">
        <v>6</v>
      </c>
      <c r="E153" s="1" t="s">
        <v>14</v>
      </c>
      <c r="F153" s="13" t="str">
        <f>VLOOKUP(E153,'Master Kode'!$B$3:$D$13,2,0)</f>
        <v>HDPE Natural Flakes</v>
      </c>
      <c r="G153" s="1">
        <v>2680</v>
      </c>
      <c r="H153" s="1" t="s">
        <v>9</v>
      </c>
      <c r="I153" s="12">
        <v>45832</v>
      </c>
      <c r="K153" s="4"/>
      <c r="L153" s="3"/>
      <c r="M153" s="4"/>
      <c r="N153" s="5"/>
      <c r="O153" s="4"/>
      <c r="P153" s="5"/>
      <c r="Q153" s="4"/>
      <c r="R153" s="4"/>
      <c r="T153" s="4"/>
      <c r="U153" s="12"/>
      <c r="V153" s="4"/>
      <c r="W153" s="4"/>
      <c r="X153" s="5"/>
      <c r="Y153" s="4"/>
      <c r="Z153" s="5"/>
      <c r="AA153" s="4"/>
      <c r="AB153" s="4"/>
      <c r="AC153" s="19"/>
      <c r="AD153" s="19"/>
    </row>
    <row r="154" spans="1:30">
      <c r="A154" s="21"/>
      <c r="B154" s="12">
        <v>45824</v>
      </c>
      <c r="C154" s="1" t="s">
        <v>190</v>
      </c>
      <c r="D154" s="13" t="s">
        <v>10</v>
      </c>
      <c r="E154" s="1" t="s">
        <v>17</v>
      </c>
      <c r="F154" s="13" t="str">
        <f>VLOOKUP(E154,'Master Kode'!$B$3:$D$13,2,0)</f>
        <v>HDPE Mixed Color Flakes</v>
      </c>
      <c r="G154" s="1">
        <v>3140</v>
      </c>
      <c r="H154" s="1" t="s">
        <v>9</v>
      </c>
      <c r="I154" s="12">
        <v>45833</v>
      </c>
      <c r="K154" s="4"/>
      <c r="L154" s="3"/>
      <c r="M154" s="4"/>
      <c r="N154" s="5"/>
      <c r="O154" s="4"/>
      <c r="P154" s="5"/>
      <c r="Q154" s="4"/>
      <c r="R154" s="4"/>
      <c r="T154" s="4"/>
      <c r="U154" s="12"/>
      <c r="V154" s="4"/>
      <c r="W154" s="4"/>
      <c r="X154" s="5"/>
      <c r="Y154" s="4"/>
      <c r="Z154" s="5"/>
      <c r="AA154" s="4"/>
      <c r="AB154" s="4"/>
      <c r="AC154" s="19"/>
      <c r="AD154" s="19"/>
    </row>
    <row r="155" spans="1:30">
      <c r="A155" s="21"/>
      <c r="B155" s="12">
        <v>45825</v>
      </c>
      <c r="C155" s="1" t="s">
        <v>191</v>
      </c>
      <c r="D155" s="13" t="s">
        <v>13</v>
      </c>
      <c r="E155" s="1" t="s">
        <v>23</v>
      </c>
      <c r="F155" s="13" t="str">
        <f>VLOOKUP(E155,'Master Kode'!$B$3:$D$13,2,0)</f>
        <v>PET Green Flakes</v>
      </c>
      <c r="G155" s="1">
        <v>2980</v>
      </c>
      <c r="H155" s="1" t="s">
        <v>9</v>
      </c>
      <c r="I155" s="12">
        <v>45834</v>
      </c>
      <c r="K155" s="4"/>
      <c r="L155" s="3"/>
      <c r="M155" s="4"/>
      <c r="N155" s="5"/>
      <c r="O155" s="4"/>
      <c r="P155" s="5"/>
      <c r="Q155" s="4"/>
      <c r="R155" s="4"/>
      <c r="T155" s="4"/>
      <c r="U155" s="12"/>
      <c r="V155" s="4"/>
      <c r="W155" s="4"/>
      <c r="X155" s="5"/>
      <c r="Y155" s="4"/>
      <c r="Z155" s="5"/>
      <c r="AA155" s="4"/>
      <c r="AB155" s="4"/>
      <c r="AC155" s="19"/>
      <c r="AD155" s="19"/>
    </row>
    <row r="156" spans="1:30">
      <c r="A156" s="21"/>
      <c r="B156" s="12">
        <v>45826</v>
      </c>
      <c r="C156" s="1" t="s">
        <v>192</v>
      </c>
      <c r="D156" s="13" t="s">
        <v>16</v>
      </c>
      <c r="E156" s="1" t="s">
        <v>20</v>
      </c>
      <c r="F156" s="13" t="str">
        <f>VLOOKUP(E156,'Master Kode'!$B$3:$D$13,2,0)</f>
        <v>PP Injection Flakes</v>
      </c>
      <c r="G156" s="1">
        <v>1850</v>
      </c>
      <c r="H156" s="1" t="s">
        <v>9</v>
      </c>
      <c r="I156" s="12">
        <v>45835</v>
      </c>
      <c r="K156" s="4"/>
      <c r="L156" s="3"/>
      <c r="M156" s="4"/>
      <c r="N156" s="5"/>
      <c r="O156" s="4"/>
      <c r="P156" s="5"/>
      <c r="Q156" s="4"/>
      <c r="R156" s="4"/>
      <c r="T156" s="4"/>
      <c r="U156" s="12"/>
      <c r="V156" s="4"/>
      <c r="W156" s="4"/>
      <c r="X156" s="5"/>
      <c r="Y156" s="4"/>
      <c r="Z156" s="5"/>
      <c r="AA156" s="4"/>
      <c r="AB156" s="4"/>
      <c r="AC156" s="19"/>
      <c r="AD156" s="19"/>
    </row>
    <row r="157" spans="1:30">
      <c r="A157" s="21"/>
      <c r="B157" s="12">
        <v>45827</v>
      </c>
      <c r="C157" s="1" t="s">
        <v>193</v>
      </c>
      <c r="D157" s="13" t="s">
        <v>19</v>
      </c>
      <c r="E157" s="1" t="s">
        <v>26</v>
      </c>
      <c r="F157" s="13" t="str">
        <f>VLOOKUP(E157,'Master Kode'!$B$3:$D$13,2,0)</f>
        <v>HDPE Blue Drum Flakes</v>
      </c>
      <c r="G157" s="1">
        <v>2360</v>
      </c>
      <c r="H157" s="1" t="s">
        <v>9</v>
      </c>
      <c r="I157" s="12">
        <v>45836</v>
      </c>
      <c r="K157" s="4"/>
      <c r="L157" s="3"/>
      <c r="M157" s="4"/>
      <c r="N157" s="5"/>
      <c r="O157" s="4"/>
      <c r="P157" s="5"/>
      <c r="Q157" s="4"/>
      <c r="R157" s="4"/>
      <c r="T157" s="4"/>
      <c r="U157" s="12"/>
      <c r="V157" s="4"/>
      <c r="W157" s="4"/>
      <c r="X157" s="5"/>
      <c r="Y157" s="4"/>
      <c r="Z157" s="5"/>
      <c r="AA157" s="4"/>
      <c r="AB157" s="4"/>
      <c r="AC157" s="19"/>
      <c r="AD157" s="19"/>
    </row>
    <row r="158" spans="1:30">
      <c r="A158" s="21"/>
      <c r="B158" s="12">
        <v>45834</v>
      </c>
      <c r="C158" s="1" t="s">
        <v>194</v>
      </c>
      <c r="D158" s="13" t="s">
        <v>6</v>
      </c>
      <c r="E158" s="1" t="s">
        <v>7</v>
      </c>
      <c r="F158" s="13" t="str">
        <f>VLOOKUP(E158,'Master Kode'!$B$3:$D$13,2,0)</f>
        <v>PET Clear Flakes</v>
      </c>
      <c r="G158" s="1">
        <v>2450</v>
      </c>
      <c r="H158" s="1" t="s">
        <v>9</v>
      </c>
      <c r="I158" s="12">
        <v>45841</v>
      </c>
      <c r="K158" s="4"/>
      <c r="L158" s="3"/>
      <c r="M158" s="4"/>
      <c r="N158" s="5"/>
      <c r="O158" s="4"/>
      <c r="P158" s="5"/>
      <c r="Q158" s="4"/>
      <c r="R158" s="4"/>
      <c r="T158" s="4"/>
      <c r="U158" s="12"/>
      <c r="V158" s="4"/>
      <c r="W158" s="4"/>
      <c r="X158" s="5"/>
      <c r="Y158" s="4"/>
      <c r="Z158" s="5"/>
      <c r="AA158" s="4"/>
      <c r="AB158" s="4"/>
      <c r="AC158" s="19"/>
      <c r="AD158" s="19"/>
    </row>
    <row r="159" spans="1:30">
      <c r="A159" s="21"/>
      <c r="B159" s="12">
        <v>45834</v>
      </c>
      <c r="C159" s="1" t="s">
        <v>195</v>
      </c>
      <c r="D159" s="13" t="s">
        <v>10</v>
      </c>
      <c r="E159" s="1" t="s">
        <v>11</v>
      </c>
      <c r="F159" s="13" t="str">
        <f>VLOOKUP(E159,'Master Kode'!$B$3:$D$13,2,0)</f>
        <v>PET Blue Flakes</v>
      </c>
      <c r="G159" s="1">
        <v>3100</v>
      </c>
      <c r="H159" s="1" t="s">
        <v>9</v>
      </c>
      <c r="I159" s="12">
        <v>45842</v>
      </c>
      <c r="K159" s="4"/>
      <c r="L159" s="3"/>
      <c r="M159" s="4"/>
      <c r="N159" s="5"/>
      <c r="O159" s="4"/>
      <c r="P159" s="5"/>
      <c r="Q159" s="4"/>
      <c r="R159" s="4"/>
      <c r="T159" s="4"/>
      <c r="U159" s="12"/>
      <c r="V159" s="4"/>
      <c r="W159" s="4"/>
      <c r="X159" s="5"/>
      <c r="Y159" s="4"/>
      <c r="Z159" s="5"/>
      <c r="AA159" s="4"/>
      <c r="AB159" s="4"/>
      <c r="AC159" s="19"/>
      <c r="AD159" s="19"/>
    </row>
    <row r="160" spans="1:30">
      <c r="A160" s="21"/>
      <c r="B160" s="12">
        <v>45834</v>
      </c>
      <c r="C160" s="1" t="s">
        <v>196</v>
      </c>
      <c r="D160" s="13" t="s">
        <v>13</v>
      </c>
      <c r="E160" s="1" t="s">
        <v>14</v>
      </c>
      <c r="F160" s="13" t="str">
        <f>VLOOKUP(E160,'Master Kode'!$B$3:$D$13,2,0)</f>
        <v>HDPE Natural Flakes</v>
      </c>
      <c r="G160" s="1">
        <v>1980</v>
      </c>
      <c r="H160" s="1" t="s">
        <v>9</v>
      </c>
      <c r="I160" s="12">
        <v>45842</v>
      </c>
      <c r="K160" s="4"/>
      <c r="L160" s="3"/>
      <c r="M160" s="4"/>
      <c r="N160" s="5"/>
      <c r="O160" s="4"/>
      <c r="P160" s="5"/>
      <c r="Q160" s="4"/>
      <c r="R160" s="4"/>
      <c r="T160" s="4"/>
      <c r="U160" s="12"/>
      <c r="V160" s="4"/>
      <c r="W160" s="4"/>
      <c r="X160" s="5"/>
      <c r="Y160" s="4"/>
      <c r="Z160" s="5"/>
      <c r="AA160" s="4"/>
      <c r="AB160" s="4"/>
      <c r="AC160" s="19"/>
      <c r="AD160" s="19"/>
    </row>
    <row r="161" spans="1:30">
      <c r="A161" s="21"/>
      <c r="B161" s="12">
        <v>45835</v>
      </c>
      <c r="C161" s="1" t="s">
        <v>197</v>
      </c>
      <c r="D161" s="13" t="s">
        <v>16</v>
      </c>
      <c r="E161" s="1" t="s">
        <v>17</v>
      </c>
      <c r="F161" s="13" t="str">
        <f>VLOOKUP(E161,'Master Kode'!$B$3:$D$13,2,0)</f>
        <v>HDPE Mixed Color Flakes</v>
      </c>
      <c r="G161" s="1">
        <v>2875</v>
      </c>
      <c r="H161" s="1" t="s">
        <v>9</v>
      </c>
      <c r="I161" s="12">
        <v>45843</v>
      </c>
      <c r="K161" s="4"/>
      <c r="L161" s="3"/>
      <c r="M161" s="4"/>
      <c r="N161" s="5"/>
      <c r="O161" s="4"/>
      <c r="P161" s="5"/>
      <c r="Q161" s="4"/>
      <c r="R161" s="4"/>
      <c r="T161" s="4"/>
      <c r="U161" s="12"/>
      <c r="V161" s="4"/>
      <c r="W161" s="4"/>
      <c r="X161" s="5"/>
      <c r="Y161" s="4"/>
      <c r="Z161" s="5"/>
      <c r="AA161" s="4"/>
      <c r="AB161" s="4"/>
      <c r="AC161" s="19"/>
      <c r="AD161" s="19"/>
    </row>
    <row r="162" spans="1:30">
      <c r="A162" s="21"/>
      <c r="B162" s="12">
        <v>45835</v>
      </c>
      <c r="C162" s="1" t="s">
        <v>198</v>
      </c>
      <c r="D162" s="13" t="s">
        <v>19</v>
      </c>
      <c r="E162" s="1" t="s">
        <v>20</v>
      </c>
      <c r="F162" s="13" t="str">
        <f>VLOOKUP(E162,'Master Kode'!$B$3:$D$13,2,0)</f>
        <v>PP Injection Flakes</v>
      </c>
      <c r="G162" s="1">
        <v>1650</v>
      </c>
      <c r="H162" s="1" t="s">
        <v>9</v>
      </c>
      <c r="I162" s="12">
        <v>45843</v>
      </c>
      <c r="K162" s="4"/>
      <c r="L162" s="3"/>
      <c r="M162" s="4"/>
      <c r="N162" s="5"/>
      <c r="O162" s="4"/>
      <c r="P162" s="5"/>
      <c r="Q162" s="4"/>
      <c r="R162" s="4"/>
      <c r="T162" s="4"/>
      <c r="U162" s="12"/>
      <c r="V162" s="4"/>
      <c r="W162" s="4"/>
      <c r="X162" s="5"/>
      <c r="Y162" s="4"/>
      <c r="Z162" s="5"/>
      <c r="AA162" s="4"/>
      <c r="AB162" s="4"/>
      <c r="AC162" s="19"/>
      <c r="AD162" s="19"/>
    </row>
    <row r="163" spans="1:30">
      <c r="A163" s="21"/>
      <c r="B163" s="12">
        <v>45835</v>
      </c>
      <c r="C163" s="1" t="s">
        <v>199</v>
      </c>
      <c r="D163" s="13" t="s">
        <v>22</v>
      </c>
      <c r="E163" s="1" t="s">
        <v>23</v>
      </c>
      <c r="F163" s="13" t="str">
        <f>VLOOKUP(E163,'Master Kode'!$B$3:$D$13,2,0)</f>
        <v>PET Green Flakes</v>
      </c>
      <c r="G163" s="1">
        <v>3420</v>
      </c>
      <c r="H163" s="1" t="s">
        <v>9</v>
      </c>
      <c r="I163" s="12">
        <v>45844</v>
      </c>
      <c r="K163" s="4"/>
      <c r="L163" s="3"/>
      <c r="M163" s="4"/>
      <c r="N163" s="5"/>
      <c r="O163" s="4"/>
      <c r="P163" s="5"/>
      <c r="Q163" s="4"/>
      <c r="R163" s="4"/>
      <c r="T163" s="4"/>
      <c r="U163" s="12"/>
      <c r="V163" s="4"/>
      <c r="W163" s="4"/>
      <c r="X163" s="5"/>
      <c r="Y163" s="4"/>
      <c r="Z163" s="5"/>
      <c r="AA163" s="4"/>
      <c r="AB163" s="4"/>
      <c r="AC163" s="19"/>
      <c r="AD163" s="19"/>
    </row>
    <row r="164" spans="1:30">
      <c r="A164" s="21"/>
      <c r="B164" s="12">
        <v>45836</v>
      </c>
      <c r="C164" s="1" t="s">
        <v>200</v>
      </c>
      <c r="D164" s="13" t="s">
        <v>25</v>
      </c>
      <c r="E164" s="1" t="s">
        <v>26</v>
      </c>
      <c r="F164" s="13" t="str">
        <f>VLOOKUP(E164,'Master Kode'!$B$3:$D$13,2,0)</f>
        <v>HDPE Blue Drum Flakes</v>
      </c>
      <c r="G164" s="1">
        <v>2210</v>
      </c>
      <c r="H164" s="1" t="s">
        <v>9</v>
      </c>
      <c r="I164" s="12">
        <v>45844</v>
      </c>
      <c r="K164" s="4"/>
      <c r="L164" s="3"/>
      <c r="M164" s="4"/>
      <c r="N164" s="5"/>
      <c r="O164" s="4"/>
      <c r="P164" s="5"/>
      <c r="Q164" s="4"/>
      <c r="R164" s="4"/>
      <c r="T164" s="4"/>
      <c r="U164" s="12"/>
      <c r="V164" s="4"/>
      <c r="W164" s="4"/>
      <c r="X164" s="5"/>
      <c r="Y164" s="4"/>
      <c r="Z164" s="5"/>
      <c r="AA164" s="4"/>
      <c r="AB164" s="4"/>
      <c r="AC164" s="19"/>
      <c r="AD164" s="19"/>
    </row>
    <row r="165" spans="1:30">
      <c r="A165" s="21"/>
      <c r="B165" s="12">
        <v>45836</v>
      </c>
      <c r="C165" s="1" t="s">
        <v>201</v>
      </c>
      <c r="D165" s="13" t="s">
        <v>6</v>
      </c>
      <c r="E165" s="1" t="s">
        <v>28</v>
      </c>
      <c r="F165" s="13" t="str">
        <f>VLOOKUP(E165,'Master Kode'!$B$3:$D$13,2,0)</f>
        <v>PET Mixed Color Flakes</v>
      </c>
      <c r="G165" s="1">
        <v>3150</v>
      </c>
      <c r="H165" s="1" t="s">
        <v>9</v>
      </c>
      <c r="I165" s="12">
        <v>45845</v>
      </c>
      <c r="K165" s="4"/>
      <c r="L165" s="3"/>
      <c r="M165" s="4"/>
      <c r="N165" s="5"/>
      <c r="O165" s="4"/>
      <c r="P165" s="5"/>
      <c r="Q165" s="4"/>
      <c r="R165" s="4"/>
      <c r="T165" s="4"/>
      <c r="U165" s="12"/>
      <c r="V165" s="4"/>
      <c r="W165" s="4"/>
      <c r="X165" s="5"/>
      <c r="Y165" s="4"/>
      <c r="Z165" s="5"/>
      <c r="AA165" s="4"/>
      <c r="AB165" s="4"/>
      <c r="AC165" s="19"/>
      <c r="AD165" s="19"/>
    </row>
    <row r="166" spans="1:30">
      <c r="A166" s="21"/>
      <c r="B166" s="12">
        <v>45837</v>
      </c>
      <c r="C166" s="1" t="s">
        <v>202</v>
      </c>
      <c r="D166" s="13" t="s">
        <v>10</v>
      </c>
      <c r="E166" s="1" t="s">
        <v>7</v>
      </c>
      <c r="F166" s="13" t="str">
        <f>VLOOKUP(E166,'Master Kode'!$B$3:$D$13,2,0)</f>
        <v>PET Clear Flakes</v>
      </c>
      <c r="G166" s="1">
        <v>1890</v>
      </c>
      <c r="H166" s="1" t="s">
        <v>9</v>
      </c>
      <c r="I166" s="12">
        <v>45845</v>
      </c>
      <c r="K166" s="4"/>
      <c r="L166" s="3"/>
      <c r="M166" s="4"/>
      <c r="N166" s="5"/>
      <c r="O166" s="4"/>
      <c r="P166" s="5"/>
      <c r="Q166" s="4"/>
      <c r="R166" s="4"/>
      <c r="T166" s="4"/>
      <c r="U166" s="12"/>
      <c r="V166" s="4"/>
      <c r="W166" s="4"/>
      <c r="X166" s="5"/>
      <c r="Y166" s="4"/>
      <c r="Z166" s="5"/>
      <c r="AA166" s="4"/>
      <c r="AB166" s="4"/>
      <c r="AC166" s="19"/>
      <c r="AD166" s="19"/>
    </row>
    <row r="167" spans="1:30">
      <c r="A167" s="21"/>
      <c r="B167" s="12">
        <v>45837</v>
      </c>
      <c r="C167" s="1" t="s">
        <v>203</v>
      </c>
      <c r="D167" s="13" t="s">
        <v>13</v>
      </c>
      <c r="E167" s="1" t="s">
        <v>14</v>
      </c>
      <c r="F167" s="13" t="str">
        <f>VLOOKUP(E167,'Master Kode'!$B$3:$D$13,2,0)</f>
        <v>HDPE Natural Flakes</v>
      </c>
      <c r="G167" s="1">
        <v>2765</v>
      </c>
      <c r="H167" s="1" t="s">
        <v>9</v>
      </c>
      <c r="I167" s="12">
        <v>45846</v>
      </c>
      <c r="K167" s="4"/>
      <c r="L167" s="3"/>
      <c r="M167" s="4"/>
      <c r="N167" s="5"/>
      <c r="O167" s="4"/>
      <c r="P167" s="5"/>
      <c r="Q167" s="4"/>
      <c r="R167" s="4"/>
      <c r="T167" s="4"/>
      <c r="U167" s="12"/>
      <c r="V167" s="4"/>
      <c r="W167" s="4"/>
      <c r="X167" s="5"/>
      <c r="Y167" s="4"/>
      <c r="Z167" s="5"/>
      <c r="AA167" s="4"/>
      <c r="AB167" s="4"/>
      <c r="AC167" s="19"/>
      <c r="AD167" s="19"/>
    </row>
    <row r="168" spans="1:30">
      <c r="A168" s="21"/>
      <c r="B168" s="12">
        <v>45837</v>
      </c>
      <c r="C168" s="1" t="s">
        <v>204</v>
      </c>
      <c r="D168" s="13" t="s">
        <v>16</v>
      </c>
      <c r="E168" s="1" t="s">
        <v>32</v>
      </c>
      <c r="F168" s="13" t="str">
        <f>VLOOKUP(E168,'Master Kode'!$B$3:$D$13,2,0)</f>
        <v>HDPE Bottle Cap Flakes</v>
      </c>
      <c r="G168" s="1">
        <v>2050</v>
      </c>
      <c r="H168" s="1" t="s">
        <v>9</v>
      </c>
      <c r="I168" s="12">
        <v>45846</v>
      </c>
      <c r="K168" s="4"/>
      <c r="L168" s="3"/>
      <c r="M168" s="4"/>
      <c r="N168" s="5"/>
      <c r="O168" s="4"/>
      <c r="P168" s="5"/>
      <c r="Q168" s="4"/>
      <c r="R168" s="4"/>
      <c r="T168" s="4"/>
      <c r="U168" s="12"/>
      <c r="V168" s="4"/>
      <c r="W168" s="4"/>
      <c r="X168" s="5"/>
      <c r="Y168" s="4"/>
      <c r="Z168" s="5"/>
      <c r="AA168" s="4"/>
      <c r="AB168" s="4"/>
      <c r="AC168" s="19"/>
      <c r="AD168" s="19"/>
    </row>
    <row r="169" spans="1:30">
      <c r="A169" s="21"/>
      <c r="B169" s="12">
        <v>45838</v>
      </c>
      <c r="C169" s="1" t="s">
        <v>205</v>
      </c>
      <c r="D169" s="13" t="s">
        <v>19</v>
      </c>
      <c r="E169" s="1" t="s">
        <v>30</v>
      </c>
      <c r="F169" s="13" t="str">
        <f>VLOOKUP(E169,'Master Kode'!$B$3:$D$13,2,0)</f>
        <v>PP White Flakes</v>
      </c>
      <c r="G169" s="1">
        <v>2950</v>
      </c>
      <c r="H169" s="1" t="s">
        <v>9</v>
      </c>
      <c r="I169" s="12">
        <v>45846</v>
      </c>
      <c r="K169" s="4"/>
      <c r="L169" s="3"/>
      <c r="M169" s="4"/>
      <c r="N169" s="5"/>
      <c r="O169" s="4"/>
      <c r="P169" s="5"/>
      <c r="Q169" s="4"/>
      <c r="R169" s="4"/>
      <c r="T169" s="4"/>
      <c r="U169" s="12"/>
      <c r="V169" s="4"/>
      <c r="W169" s="4"/>
      <c r="X169" s="5"/>
      <c r="Y169" s="4"/>
      <c r="Z169" s="5"/>
      <c r="AA169" s="4"/>
      <c r="AB169" s="4"/>
      <c r="AC169" s="19"/>
      <c r="AD169" s="19"/>
    </row>
    <row r="170" spans="1:30">
      <c r="A170" s="21"/>
      <c r="B170" s="12">
        <v>45838</v>
      </c>
      <c r="C170" s="1" t="s">
        <v>206</v>
      </c>
      <c r="D170" s="13" t="s">
        <v>22</v>
      </c>
      <c r="E170" s="1" t="s">
        <v>11</v>
      </c>
      <c r="F170" s="13" t="str">
        <f>VLOOKUP(E170,'Master Kode'!$B$3:$D$13,2,0)</f>
        <v>PET Blue Flakes</v>
      </c>
      <c r="G170" s="1">
        <v>3120</v>
      </c>
      <c r="H170" s="1" t="s">
        <v>9</v>
      </c>
      <c r="I170" s="12">
        <v>45847</v>
      </c>
      <c r="K170" s="4"/>
      <c r="L170" s="3"/>
      <c r="M170" s="4"/>
      <c r="N170" s="5"/>
      <c r="O170" s="4"/>
      <c r="P170" s="5"/>
      <c r="Q170" s="4"/>
      <c r="R170" s="4"/>
      <c r="T170" s="4"/>
      <c r="U170" s="12"/>
      <c r="V170" s="4"/>
      <c r="W170" s="4"/>
      <c r="X170" s="5"/>
      <c r="Y170" s="4"/>
      <c r="Z170" s="5"/>
      <c r="AA170" s="4"/>
      <c r="AB170" s="4"/>
      <c r="AC170" s="19"/>
      <c r="AD170" s="19"/>
    </row>
    <row r="171" spans="1:30">
      <c r="A171" s="21"/>
      <c r="B171" s="12">
        <v>45839</v>
      </c>
      <c r="C171" s="1" t="s">
        <v>207</v>
      </c>
      <c r="D171" s="13" t="s">
        <v>25</v>
      </c>
      <c r="E171" s="1" t="s">
        <v>34</v>
      </c>
      <c r="F171" s="13" t="str">
        <f>VLOOKUP(E171,'Master Kode'!$B$3:$D$13,2,0)</f>
        <v>PET Hot Washed Flakes</v>
      </c>
      <c r="G171" s="1">
        <v>2550</v>
      </c>
      <c r="H171" s="1" t="s">
        <v>9</v>
      </c>
      <c r="I171" s="12">
        <v>45847</v>
      </c>
      <c r="K171" s="4"/>
      <c r="L171" s="3"/>
      <c r="M171" s="4"/>
      <c r="N171" s="5"/>
      <c r="O171" s="4"/>
      <c r="P171" s="5"/>
      <c r="Q171" s="4"/>
      <c r="R171" s="4"/>
      <c r="T171" s="4"/>
      <c r="U171" s="12"/>
      <c r="V171" s="4"/>
      <c r="W171" s="4"/>
      <c r="X171" s="5"/>
      <c r="Y171" s="4"/>
      <c r="Z171" s="5"/>
      <c r="AA171" s="4"/>
      <c r="AB171" s="4"/>
      <c r="AC171" s="19"/>
      <c r="AD171" s="19"/>
    </row>
    <row r="172" spans="1:30">
      <c r="A172" s="21"/>
      <c r="B172" s="12">
        <v>45839</v>
      </c>
      <c r="C172" s="1" t="s">
        <v>208</v>
      </c>
      <c r="D172" s="13" t="s">
        <v>6</v>
      </c>
      <c r="E172" s="1" t="s">
        <v>17</v>
      </c>
      <c r="F172" s="13" t="str">
        <f>VLOOKUP(E172,'Master Kode'!$B$3:$D$13,2,0)</f>
        <v>HDPE Mixed Color Flakes</v>
      </c>
      <c r="G172" s="1">
        <v>3400</v>
      </c>
      <c r="H172" s="1" t="s">
        <v>9</v>
      </c>
      <c r="I172" s="12">
        <v>45848</v>
      </c>
      <c r="K172" s="4"/>
      <c r="L172" s="3"/>
      <c r="M172" s="4"/>
      <c r="N172" s="5"/>
      <c r="O172" s="4"/>
      <c r="P172" s="5"/>
      <c r="Q172" s="4"/>
      <c r="R172" s="4"/>
      <c r="T172" s="4"/>
      <c r="U172" s="12"/>
      <c r="V172" s="4"/>
      <c r="W172" s="4"/>
      <c r="X172" s="5"/>
      <c r="Y172" s="4"/>
      <c r="Z172" s="5"/>
      <c r="AA172" s="4"/>
      <c r="AB172" s="4"/>
      <c r="AC172" s="19"/>
      <c r="AD172" s="19"/>
    </row>
    <row r="173" spans="1:30">
      <c r="A173" s="21"/>
      <c r="B173" s="12">
        <v>45840</v>
      </c>
      <c r="C173" s="1" t="s">
        <v>209</v>
      </c>
      <c r="D173" s="13" t="s">
        <v>10</v>
      </c>
      <c r="E173" s="1" t="s">
        <v>7</v>
      </c>
      <c r="F173" s="13" t="str">
        <f>VLOOKUP(E173,'Master Kode'!$B$3:$D$13,2,0)</f>
        <v>PET Clear Flakes</v>
      </c>
      <c r="G173" s="1">
        <v>2750</v>
      </c>
      <c r="H173" s="1" t="s">
        <v>9</v>
      </c>
      <c r="I173" s="12">
        <v>45848</v>
      </c>
      <c r="K173" s="4"/>
      <c r="L173" s="3"/>
      <c r="M173" s="4"/>
      <c r="N173" s="5"/>
      <c r="O173" s="4"/>
      <c r="P173" s="5"/>
      <c r="Q173" s="4"/>
      <c r="R173" s="4"/>
      <c r="T173" s="4"/>
      <c r="U173" s="12"/>
      <c r="V173" s="4"/>
      <c r="W173" s="4"/>
      <c r="X173" s="5"/>
      <c r="Y173" s="4"/>
      <c r="Z173" s="5"/>
      <c r="AA173" s="4"/>
      <c r="AB173" s="4"/>
      <c r="AC173" s="19"/>
      <c r="AD173" s="19"/>
    </row>
    <row r="174" spans="1:30">
      <c r="A174" s="21"/>
      <c r="B174" s="12">
        <v>45841</v>
      </c>
      <c r="C174" s="1" t="s">
        <v>210</v>
      </c>
      <c r="D174" s="13" t="s">
        <v>13</v>
      </c>
      <c r="E174" s="1" t="s">
        <v>23</v>
      </c>
      <c r="F174" s="13" t="str">
        <f>VLOOKUP(E174,'Master Kode'!$B$3:$D$13,2,0)</f>
        <v>PET Green Flakes</v>
      </c>
      <c r="G174" s="1">
        <v>3105</v>
      </c>
      <c r="H174" s="1" t="s">
        <v>9</v>
      </c>
      <c r="I174" s="12">
        <v>45849</v>
      </c>
      <c r="K174" s="4"/>
      <c r="L174" s="3"/>
      <c r="M174" s="4"/>
      <c r="N174" s="5"/>
      <c r="O174" s="4"/>
      <c r="P174" s="5"/>
      <c r="Q174" s="4"/>
      <c r="R174" s="4"/>
      <c r="T174" s="4"/>
      <c r="U174" s="12"/>
      <c r="V174" s="4"/>
      <c r="W174" s="4"/>
      <c r="X174" s="5"/>
      <c r="Y174" s="4"/>
      <c r="Z174" s="5"/>
      <c r="AA174" s="4"/>
      <c r="AB174" s="4"/>
      <c r="AC174" s="19"/>
      <c r="AD174" s="19"/>
    </row>
    <row r="175" spans="1:30">
      <c r="A175" s="21"/>
      <c r="B175" s="12">
        <v>45842</v>
      </c>
      <c r="C175" s="1" t="s">
        <v>211</v>
      </c>
      <c r="D175" s="13" t="s">
        <v>16</v>
      </c>
      <c r="E175" s="1" t="s">
        <v>14</v>
      </c>
      <c r="F175" s="13" t="str">
        <f>VLOOKUP(E175,'Master Kode'!$B$3:$D$13,2,0)</f>
        <v>HDPE Natural Flakes</v>
      </c>
      <c r="G175" s="1">
        <v>2250</v>
      </c>
      <c r="H175" s="1" t="s">
        <v>9</v>
      </c>
      <c r="I175" s="12">
        <v>45850</v>
      </c>
      <c r="K175" s="4"/>
      <c r="L175" s="3"/>
      <c r="M175" s="4"/>
      <c r="N175" s="5"/>
      <c r="O175" s="4"/>
      <c r="P175" s="5"/>
      <c r="Q175" s="4"/>
      <c r="R175" s="4"/>
      <c r="T175" s="4"/>
      <c r="U175" s="12"/>
      <c r="V175" s="4"/>
      <c r="W175" s="4"/>
      <c r="X175" s="5"/>
      <c r="Y175" s="4"/>
      <c r="Z175" s="5"/>
      <c r="AA175" s="4"/>
      <c r="AB175" s="4"/>
      <c r="AC175" s="19"/>
      <c r="AD175" s="19"/>
    </row>
    <row r="176" spans="1:30">
      <c r="A176" s="21"/>
      <c r="B176" s="12">
        <v>45843</v>
      </c>
      <c r="C176" s="1" t="s">
        <v>212</v>
      </c>
      <c r="D176" s="13" t="s">
        <v>19</v>
      </c>
      <c r="E176" s="1" t="s">
        <v>20</v>
      </c>
      <c r="F176" s="13" t="str">
        <f>VLOOKUP(E176,'Master Kode'!$B$3:$D$13,2,0)</f>
        <v>PP Injection Flakes</v>
      </c>
      <c r="G176" s="1">
        <v>3325</v>
      </c>
      <c r="H176" s="1" t="s">
        <v>9</v>
      </c>
      <c r="I176" s="12">
        <v>45851</v>
      </c>
      <c r="K176" s="4"/>
      <c r="L176" s="3"/>
      <c r="M176" s="4"/>
      <c r="N176" s="5"/>
      <c r="O176" s="4"/>
      <c r="P176" s="5"/>
      <c r="Q176" s="4"/>
      <c r="R176" s="4"/>
      <c r="T176" s="4"/>
      <c r="U176" s="12"/>
      <c r="V176" s="4"/>
      <c r="W176" s="4"/>
      <c r="X176" s="5"/>
      <c r="Y176" s="4"/>
      <c r="Z176" s="5"/>
      <c r="AA176" s="4"/>
      <c r="AB176" s="4"/>
      <c r="AC176" s="19"/>
      <c r="AD176" s="19"/>
    </row>
    <row r="177" spans="1:30">
      <c r="A177" s="21"/>
      <c r="B177" s="12">
        <v>45844</v>
      </c>
      <c r="C177" s="1" t="s">
        <v>213</v>
      </c>
      <c r="D177" s="13" t="s">
        <v>22</v>
      </c>
      <c r="E177" s="1" t="s">
        <v>28</v>
      </c>
      <c r="F177" s="13" t="str">
        <f>VLOOKUP(E177,'Master Kode'!$B$3:$D$13,2,0)</f>
        <v>PET Mixed Color Flakes</v>
      </c>
      <c r="G177" s="1">
        <v>2870</v>
      </c>
      <c r="H177" s="1" t="s">
        <v>9</v>
      </c>
      <c r="I177" s="12">
        <v>45852</v>
      </c>
      <c r="K177" s="4"/>
      <c r="L177" s="3"/>
      <c r="M177" s="4"/>
      <c r="N177" s="5"/>
      <c r="O177" s="4"/>
      <c r="P177" s="5"/>
      <c r="Q177" s="4"/>
      <c r="R177" s="4"/>
      <c r="T177" s="4"/>
      <c r="U177" s="12"/>
      <c r="V177" s="4"/>
      <c r="W177" s="4"/>
      <c r="X177" s="5"/>
      <c r="Y177" s="4"/>
      <c r="Z177" s="5"/>
      <c r="AA177" s="4"/>
      <c r="AB177" s="4"/>
      <c r="AC177" s="19"/>
      <c r="AD177" s="19"/>
    </row>
    <row r="178" spans="1:30">
      <c r="A178" s="21"/>
      <c r="B178" s="12">
        <v>45845</v>
      </c>
      <c r="C178" s="1" t="s">
        <v>214</v>
      </c>
      <c r="D178" s="13" t="s">
        <v>25</v>
      </c>
      <c r="E178" s="1" t="s">
        <v>11</v>
      </c>
      <c r="F178" s="13" t="str">
        <f>VLOOKUP(E178,'Master Kode'!$B$3:$D$13,2,0)</f>
        <v>PET Blue Flakes</v>
      </c>
      <c r="G178" s="1">
        <v>3200</v>
      </c>
      <c r="H178" s="1" t="s">
        <v>9</v>
      </c>
      <c r="I178" s="12">
        <v>45853</v>
      </c>
      <c r="K178" s="4"/>
      <c r="L178" s="3"/>
      <c r="M178" s="4"/>
      <c r="N178" s="5"/>
      <c r="O178" s="4"/>
      <c r="P178" s="5"/>
      <c r="Q178" s="4"/>
      <c r="R178" s="4"/>
      <c r="T178" s="4"/>
      <c r="U178" s="12"/>
      <c r="V178" s="4"/>
      <c r="W178" s="4"/>
      <c r="X178" s="5"/>
      <c r="Y178" s="4"/>
      <c r="Z178" s="5"/>
      <c r="AA178" s="4"/>
      <c r="AB178" s="4"/>
      <c r="AC178" s="19"/>
      <c r="AD178" s="19"/>
    </row>
    <row r="179" spans="1:30">
      <c r="A179" s="21"/>
      <c r="B179" s="12">
        <v>45846</v>
      </c>
      <c r="C179" s="1" t="s">
        <v>215</v>
      </c>
      <c r="D179" s="13" t="s">
        <v>6</v>
      </c>
      <c r="E179" s="1" t="s">
        <v>34</v>
      </c>
      <c r="F179" s="13" t="str">
        <f>VLOOKUP(E179,'Master Kode'!$B$3:$D$13,2,0)</f>
        <v>PET Hot Washed Flakes</v>
      </c>
      <c r="G179" s="1">
        <v>2650</v>
      </c>
      <c r="H179" s="1" t="s">
        <v>9</v>
      </c>
      <c r="I179" s="12">
        <v>45854</v>
      </c>
      <c r="K179" s="4"/>
      <c r="L179" s="3"/>
      <c r="M179" s="4"/>
      <c r="N179" s="5"/>
      <c r="O179" s="4"/>
      <c r="P179" s="5"/>
      <c r="Q179" s="4"/>
      <c r="R179" s="4"/>
      <c r="T179" s="4"/>
      <c r="U179" s="12"/>
      <c r="V179" s="4"/>
      <c r="W179" s="4"/>
      <c r="X179" s="5"/>
      <c r="Y179" s="4"/>
      <c r="Z179" s="5"/>
      <c r="AA179" s="4"/>
      <c r="AB179" s="4"/>
      <c r="AC179" s="19"/>
      <c r="AD179" s="19"/>
    </row>
    <row r="180" spans="1:30">
      <c r="A180" s="21"/>
      <c r="B180" s="12">
        <v>45847</v>
      </c>
      <c r="C180" s="1" t="s">
        <v>216</v>
      </c>
      <c r="D180" s="13" t="s">
        <v>10</v>
      </c>
      <c r="E180" s="1" t="s">
        <v>32</v>
      </c>
      <c r="F180" s="13" t="str">
        <f>VLOOKUP(E180,'Master Kode'!$B$3:$D$13,2,0)</f>
        <v>HDPE Bottle Cap Flakes</v>
      </c>
      <c r="G180" s="1">
        <v>2100</v>
      </c>
      <c r="H180" s="1" t="s">
        <v>9</v>
      </c>
      <c r="I180" s="12">
        <v>45855</v>
      </c>
      <c r="K180" s="4"/>
      <c r="L180" s="3"/>
      <c r="M180" s="4"/>
      <c r="N180" s="5"/>
      <c r="O180" s="4"/>
      <c r="P180" s="5"/>
      <c r="Q180" s="4"/>
      <c r="R180" s="4"/>
      <c r="T180" s="4"/>
      <c r="U180" s="12"/>
      <c r="V180" s="4"/>
      <c r="W180" s="4"/>
      <c r="X180" s="5"/>
      <c r="Y180" s="4"/>
      <c r="Z180" s="5"/>
      <c r="AA180" s="4"/>
      <c r="AB180" s="4"/>
      <c r="AC180" s="19"/>
      <c r="AD180" s="19"/>
    </row>
    <row r="181" spans="1:30">
      <c r="A181" s="21"/>
      <c r="B181" s="12">
        <v>45848</v>
      </c>
      <c r="C181" s="1" t="s">
        <v>217</v>
      </c>
      <c r="D181" s="13" t="s">
        <v>13</v>
      </c>
      <c r="E181" s="1" t="s">
        <v>14</v>
      </c>
      <c r="F181" s="13" t="str">
        <f>VLOOKUP(E181,'Master Kode'!$B$3:$D$13,2,0)</f>
        <v>HDPE Natural Flakes</v>
      </c>
      <c r="G181" s="1">
        <v>2980</v>
      </c>
      <c r="H181" s="1" t="s">
        <v>9</v>
      </c>
      <c r="I181" s="12">
        <v>45856</v>
      </c>
      <c r="K181" s="4"/>
      <c r="L181" s="3"/>
      <c r="M181" s="4"/>
      <c r="N181" s="5"/>
      <c r="O181" s="4"/>
      <c r="P181" s="5"/>
      <c r="Q181" s="4"/>
      <c r="R181" s="4"/>
      <c r="T181" s="4"/>
      <c r="U181" s="12"/>
      <c r="V181" s="4"/>
      <c r="W181" s="4"/>
      <c r="X181" s="5"/>
      <c r="Y181" s="4"/>
      <c r="Z181" s="5"/>
      <c r="AA181" s="4"/>
      <c r="AB181" s="4"/>
      <c r="AC181" s="19"/>
      <c r="AD181" s="19"/>
    </row>
    <row r="182" spans="1:30">
      <c r="A182" s="21"/>
      <c r="B182" s="12">
        <v>45849</v>
      </c>
      <c r="C182" s="1" t="s">
        <v>218</v>
      </c>
      <c r="D182" s="13" t="s">
        <v>16</v>
      </c>
      <c r="E182" s="1" t="s">
        <v>23</v>
      </c>
      <c r="F182" s="13" t="str">
        <f>VLOOKUP(E182,'Master Kode'!$B$3:$D$13,2,0)</f>
        <v>PET Green Flakes</v>
      </c>
      <c r="G182" s="1">
        <v>3450</v>
      </c>
      <c r="H182" s="1" t="s">
        <v>9</v>
      </c>
      <c r="I182" s="12">
        <v>45857</v>
      </c>
      <c r="K182" s="4"/>
      <c r="L182" s="3"/>
      <c r="M182" s="4"/>
      <c r="N182" s="5"/>
      <c r="O182" s="4"/>
      <c r="P182" s="5"/>
      <c r="Q182" s="4"/>
      <c r="R182" s="4"/>
      <c r="T182" s="4"/>
      <c r="U182" s="12"/>
      <c r="V182" s="4"/>
      <c r="W182" s="4"/>
      <c r="X182" s="5"/>
      <c r="Y182" s="4"/>
      <c r="Z182" s="5"/>
      <c r="AA182" s="4"/>
      <c r="AB182" s="4"/>
      <c r="AC182" s="19"/>
      <c r="AD182" s="19"/>
    </row>
    <row r="183" spans="1:30">
      <c r="A183" s="21"/>
      <c r="B183" s="12">
        <v>45850</v>
      </c>
      <c r="C183" s="1" t="s">
        <v>219</v>
      </c>
      <c r="D183" s="13" t="s">
        <v>19</v>
      </c>
      <c r="E183" s="1" t="s">
        <v>20</v>
      </c>
      <c r="F183" s="13" t="str">
        <f>VLOOKUP(E183,'Master Kode'!$B$3:$D$13,2,0)</f>
        <v>PP Injection Flakes</v>
      </c>
      <c r="G183" s="1">
        <v>3100</v>
      </c>
      <c r="H183" s="1" t="s">
        <v>9</v>
      </c>
      <c r="I183" s="12">
        <v>45858</v>
      </c>
      <c r="K183" s="4"/>
      <c r="L183" s="3"/>
      <c r="M183" s="4"/>
      <c r="N183" s="5"/>
      <c r="O183" s="4"/>
      <c r="P183" s="5"/>
      <c r="Q183" s="4"/>
      <c r="R183" s="4"/>
      <c r="T183" s="4"/>
      <c r="U183" s="12"/>
      <c r="V183" s="4"/>
      <c r="W183" s="4"/>
      <c r="X183" s="5"/>
      <c r="Y183" s="4"/>
      <c r="Z183" s="5"/>
      <c r="AA183" s="4"/>
      <c r="AB183" s="4"/>
      <c r="AC183" s="19"/>
      <c r="AD183" s="19"/>
    </row>
    <row r="184" spans="1:30">
      <c r="A184" s="21"/>
      <c r="B184" s="12">
        <v>45865</v>
      </c>
      <c r="C184" s="1" t="s">
        <v>220</v>
      </c>
      <c r="D184" s="13" t="s">
        <v>6</v>
      </c>
      <c r="E184" s="1" t="s">
        <v>7</v>
      </c>
      <c r="F184" s="13" t="str">
        <f>VLOOKUP(E184,'Master Kode'!$B$3:$D$13,2,0)</f>
        <v>PET Clear Flakes</v>
      </c>
      <c r="G184" s="1">
        <v>2500</v>
      </c>
      <c r="H184" s="1" t="s">
        <v>9</v>
      </c>
      <c r="I184" s="12">
        <v>45872</v>
      </c>
      <c r="K184" s="4"/>
      <c r="L184" s="3"/>
      <c r="M184" s="4"/>
      <c r="N184" s="5"/>
      <c r="O184" s="4"/>
      <c r="P184" s="5"/>
      <c r="Q184" s="4"/>
      <c r="R184" s="4"/>
      <c r="T184" s="4"/>
      <c r="U184" s="12"/>
      <c r="V184" s="4"/>
      <c r="W184" s="4"/>
      <c r="X184" s="5"/>
      <c r="Y184" s="4"/>
      <c r="Z184" s="5"/>
      <c r="AA184" s="4"/>
      <c r="AB184" s="4"/>
      <c r="AC184" s="19"/>
      <c r="AD184" s="19"/>
    </row>
    <row r="185" spans="1:30">
      <c r="A185" s="21"/>
      <c r="B185" s="12">
        <v>45866</v>
      </c>
      <c r="C185" s="1" t="s">
        <v>221</v>
      </c>
      <c r="D185" s="13" t="s">
        <v>10</v>
      </c>
      <c r="E185" s="1" t="s">
        <v>11</v>
      </c>
      <c r="F185" s="13" t="str">
        <f>VLOOKUP(E185,'Master Kode'!$B$3:$D$13,2,0)</f>
        <v>PET Blue Flakes</v>
      </c>
      <c r="G185" s="1">
        <v>3100</v>
      </c>
      <c r="H185" s="1" t="s">
        <v>9</v>
      </c>
      <c r="I185" s="12">
        <v>45873</v>
      </c>
      <c r="K185" s="4"/>
      <c r="L185" s="3"/>
      <c r="M185" s="4"/>
      <c r="N185" s="5"/>
      <c r="O185" s="4"/>
      <c r="P185" s="5"/>
      <c r="Q185" s="4"/>
      <c r="R185" s="4"/>
      <c r="T185" s="4"/>
      <c r="U185" s="12"/>
      <c r="V185" s="4"/>
      <c r="W185" s="4"/>
      <c r="X185" s="5"/>
      <c r="Y185" s="4"/>
      <c r="Z185" s="5"/>
      <c r="AA185" s="4"/>
      <c r="AB185" s="4"/>
      <c r="AC185" s="19"/>
      <c r="AD185" s="19"/>
    </row>
    <row r="186" spans="1:30">
      <c r="A186" s="21"/>
      <c r="B186" s="12">
        <v>45867</v>
      </c>
      <c r="C186" s="1" t="s">
        <v>222</v>
      </c>
      <c r="D186" s="13" t="s">
        <v>13</v>
      </c>
      <c r="E186" s="1" t="s">
        <v>14</v>
      </c>
      <c r="F186" s="13" t="str">
        <f>VLOOKUP(E186,'Master Kode'!$B$3:$D$13,2,0)</f>
        <v>HDPE Natural Flakes</v>
      </c>
      <c r="G186" s="1">
        <v>2200</v>
      </c>
      <c r="H186" s="1" t="s">
        <v>9</v>
      </c>
      <c r="I186" s="12">
        <v>45874</v>
      </c>
      <c r="K186" s="4"/>
      <c r="L186" s="3"/>
      <c r="M186" s="4"/>
      <c r="N186" s="5"/>
      <c r="O186" s="4"/>
      <c r="P186" s="5"/>
      <c r="Q186" s="4"/>
      <c r="R186" s="4"/>
      <c r="T186" s="4"/>
      <c r="U186" s="12"/>
      <c r="V186" s="4"/>
      <c r="W186" s="4"/>
      <c r="X186" s="5"/>
      <c r="Y186" s="4"/>
      <c r="Z186" s="5"/>
      <c r="AA186" s="4"/>
      <c r="AB186" s="4"/>
      <c r="AC186" s="19"/>
      <c r="AD186" s="19"/>
    </row>
    <row r="187" spans="1:30">
      <c r="A187" s="21"/>
      <c r="B187" s="12">
        <v>45868</v>
      </c>
      <c r="C187" s="1" t="s">
        <v>223</v>
      </c>
      <c r="D187" s="13" t="s">
        <v>16</v>
      </c>
      <c r="E187" s="1" t="s">
        <v>17</v>
      </c>
      <c r="F187" s="13" t="str">
        <f>VLOOKUP(E187,'Master Kode'!$B$3:$D$13,2,0)</f>
        <v>HDPE Mixed Color Flakes</v>
      </c>
      <c r="G187" s="1">
        <v>1850</v>
      </c>
      <c r="H187" s="1" t="s">
        <v>9</v>
      </c>
      <c r="I187" s="12">
        <v>45875</v>
      </c>
      <c r="K187" s="4"/>
      <c r="L187" s="3"/>
      <c r="M187" s="4"/>
      <c r="N187" s="5"/>
      <c r="O187" s="4"/>
      <c r="P187" s="5"/>
      <c r="Q187" s="4"/>
      <c r="R187" s="4"/>
      <c r="T187" s="4"/>
      <c r="U187" s="12"/>
      <c r="V187" s="4"/>
      <c r="W187" s="4"/>
      <c r="X187" s="5"/>
      <c r="Y187" s="4"/>
      <c r="Z187" s="5"/>
      <c r="AA187" s="4"/>
      <c r="AB187" s="4"/>
      <c r="AC187" s="19"/>
      <c r="AD187" s="19"/>
    </row>
    <row r="188" spans="1:30">
      <c r="A188" s="21"/>
      <c r="B188" s="12">
        <v>45869</v>
      </c>
      <c r="C188" s="1" t="s">
        <v>224</v>
      </c>
      <c r="D188" s="13" t="s">
        <v>19</v>
      </c>
      <c r="E188" s="1" t="s">
        <v>20</v>
      </c>
      <c r="F188" s="13" t="str">
        <f>VLOOKUP(E188,'Master Kode'!$B$3:$D$13,2,0)</f>
        <v>PP Injection Flakes</v>
      </c>
      <c r="G188" s="1">
        <v>2950</v>
      </c>
      <c r="H188" s="1" t="s">
        <v>9</v>
      </c>
      <c r="I188" s="12">
        <v>45876</v>
      </c>
      <c r="K188" s="4"/>
      <c r="L188" s="3"/>
      <c r="M188" s="4"/>
      <c r="N188" s="5"/>
      <c r="O188" s="4"/>
      <c r="P188" s="5"/>
      <c r="Q188" s="4"/>
      <c r="R188" s="4"/>
      <c r="T188" s="4"/>
      <c r="U188" s="12"/>
      <c r="V188" s="4"/>
      <c r="W188" s="4"/>
      <c r="X188" s="5"/>
      <c r="Y188" s="4"/>
      <c r="Z188" s="5"/>
      <c r="AA188" s="4"/>
      <c r="AB188" s="4"/>
      <c r="AC188" s="19"/>
      <c r="AD188" s="19"/>
    </row>
    <row r="189" spans="1:30">
      <c r="A189" s="21"/>
      <c r="B189" s="12">
        <v>45870</v>
      </c>
      <c r="C189" s="1" t="s">
        <v>225</v>
      </c>
      <c r="D189" s="13" t="s">
        <v>22</v>
      </c>
      <c r="E189" s="1" t="s">
        <v>23</v>
      </c>
      <c r="F189" s="13" t="str">
        <f>VLOOKUP(E189,'Master Kode'!$B$3:$D$13,2,0)</f>
        <v>PET Green Flakes</v>
      </c>
      <c r="G189" s="1">
        <v>2700</v>
      </c>
      <c r="H189" s="1" t="s">
        <v>9</v>
      </c>
      <c r="I189" s="12">
        <v>45877</v>
      </c>
      <c r="K189" s="4"/>
      <c r="L189" s="3"/>
      <c r="M189" s="4"/>
      <c r="N189" s="5"/>
      <c r="O189" s="4"/>
      <c r="P189" s="5"/>
      <c r="Q189" s="4"/>
      <c r="R189" s="4"/>
      <c r="T189" s="4"/>
      <c r="U189" s="12"/>
      <c r="V189" s="4"/>
      <c r="W189" s="4"/>
      <c r="X189" s="5"/>
      <c r="Y189" s="4"/>
      <c r="Z189" s="5"/>
      <c r="AA189" s="4"/>
      <c r="AB189" s="4"/>
      <c r="AC189" s="19"/>
      <c r="AD189" s="19"/>
    </row>
    <row r="190" spans="1:30">
      <c r="A190" s="21"/>
      <c r="B190" s="12">
        <v>45871</v>
      </c>
      <c r="C190" s="1" t="s">
        <v>226</v>
      </c>
      <c r="D190" s="13" t="s">
        <v>25</v>
      </c>
      <c r="E190" s="1" t="s">
        <v>26</v>
      </c>
      <c r="F190" s="13" t="str">
        <f>VLOOKUP(E190,'Master Kode'!$B$3:$D$13,2,0)</f>
        <v>HDPE Blue Drum Flakes</v>
      </c>
      <c r="G190" s="1">
        <v>1650</v>
      </c>
      <c r="H190" s="1" t="s">
        <v>9</v>
      </c>
      <c r="I190" s="12">
        <v>45878</v>
      </c>
      <c r="K190" s="4"/>
      <c r="L190" s="3"/>
      <c r="M190" s="4"/>
      <c r="N190" s="5"/>
      <c r="O190" s="4"/>
      <c r="P190" s="5"/>
      <c r="Q190" s="4"/>
      <c r="R190" s="4"/>
      <c r="T190" s="4"/>
      <c r="U190" s="12"/>
      <c r="V190" s="4"/>
      <c r="W190" s="4"/>
      <c r="X190" s="5"/>
      <c r="Y190" s="4"/>
      <c r="Z190" s="5"/>
      <c r="AA190" s="4"/>
      <c r="AB190" s="4"/>
      <c r="AC190" s="19"/>
      <c r="AD190" s="19"/>
    </row>
    <row r="191" spans="1:30">
      <c r="A191" s="21"/>
      <c r="B191" s="12">
        <v>45872</v>
      </c>
      <c r="C191" s="1" t="s">
        <v>227</v>
      </c>
      <c r="D191" s="13" t="s">
        <v>6</v>
      </c>
      <c r="E191" s="1" t="s">
        <v>28</v>
      </c>
      <c r="F191" s="13" t="str">
        <f>VLOOKUP(E191,'Master Kode'!$B$3:$D$13,2,0)</f>
        <v>PET Mixed Color Flakes</v>
      </c>
      <c r="G191" s="1">
        <v>2100</v>
      </c>
      <c r="H191" s="1" t="s">
        <v>9</v>
      </c>
      <c r="I191" s="12">
        <v>45879</v>
      </c>
      <c r="K191" s="4"/>
      <c r="L191" s="3"/>
      <c r="M191" s="4"/>
      <c r="N191" s="5"/>
      <c r="O191" s="4"/>
      <c r="P191" s="5"/>
      <c r="Q191" s="4"/>
      <c r="R191" s="4"/>
      <c r="T191" s="4"/>
      <c r="U191" s="12"/>
      <c r="V191" s="4"/>
      <c r="W191" s="4"/>
      <c r="X191" s="5"/>
      <c r="Y191" s="4"/>
      <c r="Z191" s="5"/>
      <c r="AA191" s="4"/>
      <c r="AB191" s="4"/>
      <c r="AC191" s="19"/>
      <c r="AD191" s="19"/>
    </row>
    <row r="192" spans="1:30">
      <c r="A192" s="21"/>
      <c r="B192" s="12">
        <v>45873</v>
      </c>
      <c r="C192" s="1" t="s">
        <v>228</v>
      </c>
      <c r="D192" s="13" t="s">
        <v>10</v>
      </c>
      <c r="E192" s="1" t="s">
        <v>30</v>
      </c>
      <c r="F192" s="13" t="str">
        <f>VLOOKUP(E192,'Master Kode'!$B$3:$D$13,2,0)</f>
        <v>PP White Flakes</v>
      </c>
      <c r="G192" s="1">
        <v>3250</v>
      </c>
      <c r="H192" s="1" t="s">
        <v>9</v>
      </c>
      <c r="I192" s="12">
        <v>45880</v>
      </c>
      <c r="K192" s="4"/>
      <c r="L192" s="3"/>
      <c r="M192" s="4"/>
      <c r="N192" s="5"/>
      <c r="O192" s="4"/>
      <c r="P192" s="5"/>
      <c r="Q192" s="4"/>
      <c r="R192" s="4"/>
      <c r="T192" s="4"/>
      <c r="U192" s="12"/>
      <c r="V192" s="4"/>
      <c r="W192" s="4"/>
      <c r="X192" s="5"/>
      <c r="Y192" s="4"/>
      <c r="Z192" s="5"/>
      <c r="AA192" s="4"/>
      <c r="AB192" s="4"/>
      <c r="AC192" s="19"/>
      <c r="AD192" s="19"/>
    </row>
    <row r="193" spans="1:30">
      <c r="A193" s="21"/>
      <c r="B193" s="12">
        <v>45874</v>
      </c>
      <c r="C193" s="1" t="s">
        <v>229</v>
      </c>
      <c r="D193" s="13" t="s">
        <v>13</v>
      </c>
      <c r="E193" s="1" t="s">
        <v>32</v>
      </c>
      <c r="F193" s="13" t="str">
        <f>VLOOKUP(E193,'Master Kode'!$B$3:$D$13,2,0)</f>
        <v>HDPE Bottle Cap Flakes</v>
      </c>
      <c r="G193" s="1">
        <v>2800</v>
      </c>
      <c r="H193" s="1" t="s">
        <v>9</v>
      </c>
      <c r="I193" s="12">
        <v>45881</v>
      </c>
      <c r="K193" s="4"/>
      <c r="L193" s="3"/>
      <c r="M193" s="4"/>
      <c r="N193" s="5"/>
      <c r="O193" s="4"/>
      <c r="P193" s="5"/>
      <c r="Q193" s="4"/>
      <c r="R193" s="4"/>
      <c r="T193" s="4"/>
      <c r="U193" s="12"/>
      <c r="V193" s="4"/>
      <c r="W193" s="4"/>
      <c r="X193" s="5"/>
      <c r="Y193" s="4"/>
      <c r="Z193" s="5"/>
      <c r="AA193" s="4"/>
      <c r="AB193" s="4"/>
      <c r="AC193" s="19"/>
      <c r="AD193" s="19"/>
    </row>
    <row r="194" spans="1:30">
      <c r="A194" s="21"/>
      <c r="B194" s="12">
        <v>45875</v>
      </c>
      <c r="C194" s="1" t="s">
        <v>230</v>
      </c>
      <c r="D194" s="13" t="s">
        <v>16</v>
      </c>
      <c r="E194" s="1" t="s">
        <v>34</v>
      </c>
      <c r="F194" s="13" t="str">
        <f>VLOOKUP(E194,'Master Kode'!$B$3:$D$13,2,0)</f>
        <v>PET Hot Washed Flakes</v>
      </c>
      <c r="G194" s="1">
        <v>3400</v>
      </c>
      <c r="H194" s="1" t="s">
        <v>9</v>
      </c>
      <c r="I194" s="12">
        <v>45882</v>
      </c>
      <c r="K194" s="4"/>
      <c r="L194" s="3"/>
      <c r="M194" s="4"/>
      <c r="N194" s="5"/>
      <c r="O194" s="4"/>
      <c r="P194" s="5"/>
      <c r="Q194" s="4"/>
      <c r="R194" s="4"/>
      <c r="T194" s="4"/>
      <c r="U194" s="12"/>
      <c r="V194" s="4"/>
      <c r="W194" s="4"/>
      <c r="X194" s="5"/>
      <c r="Y194" s="4"/>
      <c r="Z194" s="5"/>
      <c r="AA194" s="4"/>
      <c r="AB194" s="4"/>
      <c r="AC194" s="19"/>
      <c r="AD194" s="19"/>
    </row>
    <row r="195" spans="1:30">
      <c r="A195" s="21"/>
      <c r="B195" s="12">
        <v>45876</v>
      </c>
      <c r="C195" s="1" t="s">
        <v>231</v>
      </c>
      <c r="D195" s="13" t="s">
        <v>19</v>
      </c>
      <c r="E195" s="1" t="s">
        <v>7</v>
      </c>
      <c r="F195" s="13" t="str">
        <f>VLOOKUP(E195,'Master Kode'!$B$3:$D$13,2,0)</f>
        <v>PET Clear Flakes</v>
      </c>
      <c r="G195" s="1">
        <v>2600</v>
      </c>
      <c r="H195" s="1" t="s">
        <v>9</v>
      </c>
      <c r="I195" s="12">
        <v>45883</v>
      </c>
      <c r="K195" s="4"/>
      <c r="L195" s="3"/>
      <c r="M195" s="4"/>
      <c r="N195" s="5"/>
      <c r="O195" s="4"/>
      <c r="P195" s="5"/>
      <c r="Q195" s="4"/>
      <c r="R195" s="4"/>
      <c r="T195" s="4"/>
      <c r="U195" s="12"/>
      <c r="V195" s="4"/>
      <c r="W195" s="4"/>
      <c r="X195" s="5"/>
      <c r="Y195" s="4"/>
      <c r="Z195" s="5"/>
      <c r="AA195" s="4"/>
      <c r="AB195" s="4"/>
      <c r="AC195" s="19"/>
      <c r="AD195" s="19"/>
    </row>
    <row r="196" spans="1:30">
      <c r="A196" s="21"/>
      <c r="B196" s="12">
        <v>45877</v>
      </c>
      <c r="C196" s="1" t="s">
        <v>232</v>
      </c>
      <c r="D196" s="13" t="s">
        <v>22</v>
      </c>
      <c r="E196" s="1" t="s">
        <v>14</v>
      </c>
      <c r="F196" s="13" t="str">
        <f>VLOOKUP(E196,'Master Kode'!$B$3:$D$13,2,0)</f>
        <v>HDPE Natural Flakes</v>
      </c>
      <c r="G196" s="1">
        <v>2300</v>
      </c>
      <c r="H196" s="1" t="s">
        <v>9</v>
      </c>
      <c r="I196" s="12">
        <v>45884</v>
      </c>
      <c r="K196" s="4"/>
      <c r="L196" s="3"/>
      <c r="M196" s="4"/>
      <c r="N196" s="5"/>
      <c r="O196" s="4"/>
      <c r="P196" s="5"/>
      <c r="Q196" s="4"/>
      <c r="R196" s="4"/>
      <c r="T196" s="4"/>
      <c r="U196" s="12"/>
      <c r="V196" s="4"/>
      <c r="W196" s="4"/>
      <c r="X196" s="5"/>
      <c r="Y196" s="4"/>
      <c r="Z196" s="5"/>
      <c r="AA196" s="4"/>
      <c r="AB196" s="4"/>
      <c r="AC196" s="19"/>
      <c r="AD196" s="19"/>
    </row>
    <row r="197" spans="1:30">
      <c r="A197" s="21"/>
      <c r="B197" s="12">
        <v>45878</v>
      </c>
      <c r="C197" s="1" t="s">
        <v>233</v>
      </c>
      <c r="D197" s="13" t="s">
        <v>25</v>
      </c>
      <c r="E197" s="1" t="s">
        <v>20</v>
      </c>
      <c r="F197" s="13" t="str">
        <f>VLOOKUP(E197,'Master Kode'!$B$3:$D$13,2,0)</f>
        <v>PP Injection Flakes</v>
      </c>
      <c r="G197" s="1">
        <v>2900</v>
      </c>
      <c r="H197" s="1" t="s">
        <v>9</v>
      </c>
      <c r="I197" s="12">
        <v>45885</v>
      </c>
      <c r="K197" s="4"/>
      <c r="L197" s="3"/>
      <c r="M197" s="4"/>
      <c r="N197" s="5"/>
      <c r="O197" s="4"/>
      <c r="P197" s="5"/>
      <c r="Q197" s="4"/>
      <c r="R197" s="4"/>
      <c r="T197" s="4"/>
      <c r="U197" s="12"/>
      <c r="V197" s="4"/>
      <c r="W197" s="4"/>
      <c r="X197" s="5"/>
      <c r="Y197" s="4"/>
      <c r="Z197" s="5"/>
      <c r="AA197" s="4"/>
      <c r="AB197" s="4"/>
      <c r="AC197" s="19"/>
      <c r="AD197" s="19"/>
    </row>
    <row r="198" spans="1:30">
      <c r="A198" s="21"/>
      <c r="B198" s="12">
        <v>45879</v>
      </c>
      <c r="C198" s="1" t="s">
        <v>234</v>
      </c>
      <c r="D198" s="13" t="s">
        <v>6</v>
      </c>
      <c r="E198" s="1" t="s">
        <v>11</v>
      </c>
      <c r="F198" s="13" t="str">
        <f>VLOOKUP(E198,'Master Kode'!$B$3:$D$13,2,0)</f>
        <v>PET Blue Flakes</v>
      </c>
      <c r="G198" s="1">
        <v>3100</v>
      </c>
      <c r="H198" s="1" t="s">
        <v>9</v>
      </c>
      <c r="I198" s="12">
        <v>45886</v>
      </c>
      <c r="K198" s="4"/>
      <c r="L198" s="3"/>
      <c r="M198" s="4"/>
      <c r="N198" s="5"/>
      <c r="O198" s="4"/>
      <c r="P198" s="5"/>
      <c r="Q198" s="4"/>
      <c r="R198" s="4"/>
      <c r="T198" s="4"/>
      <c r="U198" s="12"/>
      <c r="V198" s="4"/>
      <c r="W198" s="4"/>
      <c r="X198" s="5"/>
      <c r="Y198" s="4"/>
      <c r="Z198" s="5"/>
      <c r="AA198" s="4"/>
      <c r="AB198" s="4"/>
      <c r="AC198" s="19"/>
      <c r="AD198" s="19"/>
    </row>
    <row r="199" spans="1:30">
      <c r="A199" s="21"/>
      <c r="B199" s="12">
        <v>45880</v>
      </c>
      <c r="C199" s="1" t="s">
        <v>235</v>
      </c>
      <c r="D199" s="13" t="s">
        <v>10</v>
      </c>
      <c r="E199" s="1" t="s">
        <v>23</v>
      </c>
      <c r="F199" s="13" t="str">
        <f>VLOOKUP(E199,'Master Kode'!$B$3:$D$13,2,0)</f>
        <v>PET Green Flakes</v>
      </c>
      <c r="G199" s="1">
        <v>2750</v>
      </c>
      <c r="H199" s="1" t="s">
        <v>9</v>
      </c>
      <c r="I199" s="12">
        <v>45887</v>
      </c>
      <c r="K199" s="4"/>
      <c r="L199" s="3"/>
      <c r="M199" s="4"/>
      <c r="N199" s="5"/>
      <c r="O199" s="4"/>
      <c r="P199" s="5"/>
      <c r="Q199" s="4"/>
      <c r="R199" s="4"/>
      <c r="T199" s="4"/>
      <c r="U199" s="12"/>
      <c r="V199" s="4"/>
      <c r="W199" s="4"/>
      <c r="X199" s="5"/>
      <c r="Y199" s="4"/>
      <c r="Z199" s="5"/>
      <c r="AA199" s="4"/>
      <c r="AB199" s="4"/>
      <c r="AC199" s="19"/>
      <c r="AD199" s="19"/>
    </row>
    <row r="200" spans="1:30">
      <c r="A200" s="21"/>
      <c r="B200" s="12">
        <v>45881</v>
      </c>
      <c r="C200" s="1" t="s">
        <v>236</v>
      </c>
      <c r="D200" s="13" t="s">
        <v>13</v>
      </c>
      <c r="E200" s="1" t="s">
        <v>28</v>
      </c>
      <c r="F200" s="13" t="str">
        <f>VLOOKUP(E200,'Master Kode'!$B$3:$D$13,2,0)</f>
        <v>PET Mixed Color Flakes</v>
      </c>
      <c r="G200" s="1">
        <v>2400</v>
      </c>
      <c r="H200" s="1" t="s">
        <v>9</v>
      </c>
      <c r="I200" s="12">
        <v>45888</v>
      </c>
      <c r="K200" s="4"/>
      <c r="L200" s="3"/>
      <c r="M200" s="4"/>
      <c r="N200" s="5"/>
      <c r="O200" s="4"/>
      <c r="P200" s="5"/>
      <c r="Q200" s="4"/>
      <c r="R200" s="4"/>
      <c r="T200" s="4"/>
      <c r="U200" s="12"/>
      <c r="V200" s="4"/>
      <c r="W200" s="4"/>
      <c r="X200" s="5"/>
      <c r="Y200" s="4"/>
      <c r="Z200" s="5"/>
      <c r="AA200" s="4"/>
      <c r="AB200" s="4"/>
      <c r="AC200" s="19"/>
      <c r="AD200" s="19"/>
    </row>
    <row r="201" spans="1:30">
      <c r="A201" s="21"/>
      <c r="B201" s="12">
        <v>45882</v>
      </c>
      <c r="C201" s="1" t="s">
        <v>237</v>
      </c>
      <c r="D201" s="13" t="s">
        <v>16</v>
      </c>
      <c r="E201" s="1" t="s">
        <v>17</v>
      </c>
      <c r="F201" s="13" t="str">
        <f>VLOOKUP(E201,'Master Kode'!$B$3:$D$13,2,0)</f>
        <v>HDPE Mixed Color Flakes</v>
      </c>
      <c r="G201" s="1">
        <v>2000</v>
      </c>
      <c r="H201" s="1" t="s">
        <v>9</v>
      </c>
      <c r="I201" s="12">
        <v>45889</v>
      </c>
      <c r="K201" s="4"/>
      <c r="L201" s="3"/>
      <c r="M201" s="4"/>
      <c r="N201" s="5"/>
      <c r="O201" s="4"/>
      <c r="P201" s="5"/>
      <c r="Q201" s="4"/>
      <c r="R201" s="4"/>
      <c r="T201" s="4"/>
      <c r="U201" s="12"/>
      <c r="V201" s="4"/>
      <c r="W201" s="4"/>
      <c r="X201" s="5"/>
      <c r="Y201" s="4"/>
      <c r="Z201" s="5"/>
      <c r="AA201" s="4"/>
      <c r="AB201" s="4"/>
      <c r="AC201" s="19"/>
      <c r="AD201" s="19"/>
    </row>
    <row r="202" spans="1:30">
      <c r="A202" s="21"/>
      <c r="B202" s="12">
        <v>45883</v>
      </c>
      <c r="C202" s="1" t="s">
        <v>238</v>
      </c>
      <c r="D202" s="13" t="s">
        <v>19</v>
      </c>
      <c r="E202" s="1" t="s">
        <v>26</v>
      </c>
      <c r="F202" s="13" t="str">
        <f>VLOOKUP(E202,'Master Kode'!$B$3:$D$13,2,0)</f>
        <v>HDPE Blue Drum Flakes</v>
      </c>
      <c r="G202" s="1">
        <v>1750</v>
      </c>
      <c r="H202" s="1" t="s">
        <v>9</v>
      </c>
      <c r="I202" s="12">
        <v>45890</v>
      </c>
      <c r="K202" s="4"/>
      <c r="L202" s="3"/>
      <c r="M202" s="4"/>
      <c r="N202" s="5"/>
      <c r="O202" s="4"/>
      <c r="P202" s="5"/>
      <c r="Q202" s="4"/>
      <c r="R202" s="4"/>
      <c r="T202" s="4"/>
      <c r="U202" s="12"/>
      <c r="V202" s="4"/>
      <c r="W202" s="4"/>
      <c r="X202" s="5"/>
      <c r="Y202" s="4"/>
      <c r="Z202" s="5"/>
      <c r="AA202" s="4"/>
      <c r="AB202" s="4"/>
      <c r="AC202" s="19"/>
      <c r="AD202" s="19"/>
    </row>
    <row r="203" spans="1:30">
      <c r="A203" s="21"/>
      <c r="B203" s="12">
        <v>45884</v>
      </c>
      <c r="C203" s="1" t="s">
        <v>239</v>
      </c>
      <c r="D203" s="13" t="s">
        <v>22</v>
      </c>
      <c r="E203" s="1" t="s">
        <v>34</v>
      </c>
      <c r="F203" s="13" t="str">
        <f>VLOOKUP(E203,'Master Kode'!$B$3:$D$13,2,0)</f>
        <v>PET Hot Washed Flakes</v>
      </c>
      <c r="G203" s="1">
        <v>3550</v>
      </c>
      <c r="H203" s="1" t="s">
        <v>9</v>
      </c>
      <c r="I203" s="12">
        <v>45891</v>
      </c>
      <c r="K203" s="4"/>
      <c r="L203" s="3"/>
      <c r="M203" s="4"/>
      <c r="N203" s="5"/>
      <c r="O203" s="4"/>
      <c r="P203" s="5"/>
      <c r="Q203" s="4"/>
      <c r="R203" s="4"/>
      <c r="T203" s="4"/>
      <c r="U203" s="12"/>
      <c r="V203" s="4"/>
      <c r="W203" s="4"/>
      <c r="X203" s="5"/>
      <c r="Y203" s="4"/>
      <c r="Z203" s="5"/>
      <c r="AA203" s="4"/>
      <c r="AB203" s="4"/>
      <c r="AC203" s="19"/>
      <c r="AD203" s="19"/>
    </row>
    <row r="204" spans="1:30">
      <c r="A204" s="21"/>
      <c r="B204" s="12">
        <v>45885</v>
      </c>
      <c r="C204" s="1" t="s">
        <v>240</v>
      </c>
      <c r="D204" s="13" t="s">
        <v>25</v>
      </c>
      <c r="E204" s="1" t="s">
        <v>30</v>
      </c>
      <c r="F204" s="13" t="str">
        <f>VLOOKUP(E204,'Master Kode'!$B$3:$D$13,2,0)</f>
        <v>PP White Flakes</v>
      </c>
      <c r="G204" s="1">
        <v>2650</v>
      </c>
      <c r="H204" s="1" t="s">
        <v>9</v>
      </c>
      <c r="I204" s="12">
        <v>45892</v>
      </c>
      <c r="K204" s="4"/>
      <c r="L204" s="3"/>
      <c r="M204" s="4"/>
      <c r="N204" s="5"/>
      <c r="O204" s="4"/>
      <c r="P204" s="5"/>
      <c r="Q204" s="4"/>
      <c r="R204" s="4"/>
      <c r="T204" s="4"/>
      <c r="U204" s="12"/>
      <c r="V204" s="4"/>
      <c r="W204" s="4"/>
      <c r="X204" s="5"/>
      <c r="Y204" s="4"/>
      <c r="Z204" s="5"/>
      <c r="AA204" s="4"/>
      <c r="AB204" s="4"/>
      <c r="AC204" s="19"/>
      <c r="AD204" s="19"/>
    </row>
    <row r="205" spans="1:30">
      <c r="A205" s="21"/>
      <c r="B205" s="12">
        <v>45886</v>
      </c>
      <c r="C205" s="1" t="s">
        <v>241</v>
      </c>
      <c r="D205" s="13" t="s">
        <v>6</v>
      </c>
      <c r="E205" s="1" t="s">
        <v>7</v>
      </c>
      <c r="F205" s="13" t="str">
        <f>VLOOKUP(E205,'Master Kode'!$B$3:$D$13,2,0)</f>
        <v>PET Clear Flakes</v>
      </c>
      <c r="G205" s="1">
        <v>2850</v>
      </c>
      <c r="H205" s="1" t="s">
        <v>9</v>
      </c>
      <c r="I205" s="12">
        <v>45893</v>
      </c>
      <c r="K205" s="4"/>
      <c r="L205" s="3"/>
      <c r="M205" s="4"/>
      <c r="N205" s="5"/>
      <c r="O205" s="4"/>
      <c r="P205" s="5"/>
      <c r="Q205" s="4"/>
      <c r="R205" s="4"/>
      <c r="T205" s="4"/>
      <c r="U205" s="12"/>
      <c r="V205" s="4"/>
      <c r="W205" s="4"/>
      <c r="X205" s="5"/>
      <c r="Y205" s="4"/>
      <c r="Z205" s="5"/>
      <c r="AA205" s="4"/>
      <c r="AB205" s="4"/>
      <c r="AC205" s="19"/>
      <c r="AD205" s="19"/>
    </row>
    <row r="206" spans="1:30">
      <c r="A206" s="21"/>
      <c r="B206" s="12">
        <v>45887</v>
      </c>
      <c r="C206" s="1" t="s">
        <v>242</v>
      </c>
      <c r="D206" s="13" t="s">
        <v>10</v>
      </c>
      <c r="E206" s="1" t="s">
        <v>32</v>
      </c>
      <c r="F206" s="13" t="str">
        <f>VLOOKUP(E206,'Master Kode'!$B$3:$D$13,2,0)</f>
        <v>HDPE Bottle Cap Flakes</v>
      </c>
      <c r="G206" s="1">
        <v>2950</v>
      </c>
      <c r="H206" s="1" t="s">
        <v>9</v>
      </c>
      <c r="I206" s="12">
        <v>45894</v>
      </c>
      <c r="K206" s="4"/>
      <c r="L206" s="3"/>
      <c r="M206" s="4"/>
      <c r="N206" s="5"/>
      <c r="O206" s="4"/>
      <c r="P206" s="5"/>
      <c r="Q206" s="4"/>
      <c r="R206" s="4"/>
      <c r="T206" s="4"/>
      <c r="U206" s="12"/>
      <c r="V206" s="4"/>
      <c r="W206" s="4"/>
      <c r="X206" s="5"/>
      <c r="Y206" s="4"/>
      <c r="Z206" s="5"/>
      <c r="AA206" s="4"/>
      <c r="AB206" s="4"/>
      <c r="AC206" s="19"/>
      <c r="AD206" s="19"/>
    </row>
    <row r="207" spans="1:30">
      <c r="A207" s="21"/>
      <c r="B207" s="12">
        <v>45888</v>
      </c>
      <c r="C207" s="1" t="s">
        <v>243</v>
      </c>
      <c r="D207" s="13" t="s">
        <v>13</v>
      </c>
      <c r="E207" s="1" t="s">
        <v>14</v>
      </c>
      <c r="F207" s="13" t="str">
        <f>VLOOKUP(E207,'Master Kode'!$B$3:$D$13,2,0)</f>
        <v>HDPE Natural Flakes</v>
      </c>
      <c r="G207" s="1">
        <v>2150</v>
      </c>
      <c r="H207" s="1" t="s">
        <v>9</v>
      </c>
      <c r="I207" s="12">
        <v>45895</v>
      </c>
      <c r="K207" s="4"/>
      <c r="L207" s="3"/>
      <c r="M207" s="4"/>
      <c r="N207" s="5"/>
      <c r="O207" s="4"/>
      <c r="P207" s="5"/>
      <c r="Q207" s="4"/>
      <c r="R207" s="4"/>
      <c r="T207" s="4"/>
      <c r="U207" s="12"/>
      <c r="V207" s="4"/>
      <c r="W207" s="4"/>
      <c r="X207" s="5"/>
      <c r="Y207" s="4"/>
      <c r="Z207" s="5"/>
      <c r="AA207" s="4"/>
      <c r="AB207" s="4"/>
      <c r="AC207" s="19"/>
      <c r="AD207" s="19"/>
    </row>
    <row r="208" spans="1:30">
      <c r="A208" s="21"/>
      <c r="B208" s="12">
        <v>45889</v>
      </c>
      <c r="C208" s="1" t="s">
        <v>244</v>
      </c>
      <c r="D208" s="13" t="s">
        <v>16</v>
      </c>
      <c r="E208" s="1" t="s">
        <v>23</v>
      </c>
      <c r="F208" s="13" t="str">
        <f>VLOOKUP(E208,'Master Kode'!$B$3:$D$13,2,0)</f>
        <v>PET Green Flakes</v>
      </c>
      <c r="G208" s="1">
        <v>3050</v>
      </c>
      <c r="H208" s="1" t="s">
        <v>9</v>
      </c>
      <c r="I208" s="12">
        <v>45896</v>
      </c>
      <c r="K208" s="4"/>
      <c r="L208" s="3"/>
      <c r="M208" s="4"/>
      <c r="N208" s="5"/>
      <c r="O208" s="4"/>
      <c r="P208" s="5"/>
      <c r="Q208" s="4"/>
      <c r="R208" s="4"/>
      <c r="T208" s="4"/>
      <c r="U208" s="12"/>
      <c r="V208" s="4"/>
      <c r="W208" s="4"/>
      <c r="X208" s="5"/>
      <c r="Y208" s="4"/>
      <c r="Z208" s="5"/>
      <c r="AA208" s="4"/>
      <c r="AB208" s="4"/>
      <c r="AC208" s="19"/>
      <c r="AD208" s="19"/>
    </row>
    <row r="209" spans="1:30">
      <c r="A209" s="21"/>
      <c r="B209" s="12">
        <v>45896</v>
      </c>
      <c r="C209" s="1" t="s">
        <v>245</v>
      </c>
      <c r="D209" s="13" t="s">
        <v>6</v>
      </c>
      <c r="E209" s="1" t="s">
        <v>7</v>
      </c>
      <c r="F209" s="13" t="str">
        <f>VLOOKUP(E209,'Master Kode'!$B$3:$D$13,2,0)</f>
        <v>PET Clear Flakes</v>
      </c>
      <c r="G209" s="1">
        <v>2150</v>
      </c>
      <c r="H209" s="1" t="s">
        <v>9</v>
      </c>
      <c r="I209" s="12">
        <v>45903</v>
      </c>
      <c r="K209" s="4"/>
      <c r="L209" s="3"/>
      <c r="M209" s="4"/>
      <c r="N209" s="5"/>
      <c r="O209" s="4"/>
      <c r="P209" s="5"/>
      <c r="Q209" s="4"/>
      <c r="R209" s="4"/>
      <c r="T209" s="4"/>
      <c r="U209" s="12"/>
      <c r="V209" s="4"/>
      <c r="W209" s="4"/>
      <c r="X209" s="5"/>
      <c r="Y209" s="4"/>
      <c r="Z209" s="5"/>
      <c r="AA209" s="4"/>
      <c r="AB209" s="4"/>
      <c r="AC209" s="19"/>
      <c r="AD209" s="19"/>
    </row>
    <row r="210" spans="1:30">
      <c r="A210" s="21"/>
      <c r="B210" s="12">
        <v>45896</v>
      </c>
      <c r="C210" s="1" t="s">
        <v>246</v>
      </c>
      <c r="D210" s="13" t="s">
        <v>10</v>
      </c>
      <c r="E210" s="1" t="s">
        <v>14</v>
      </c>
      <c r="F210" s="13" t="str">
        <f>VLOOKUP(E210,'Master Kode'!$B$3:$D$13,2,0)</f>
        <v>HDPE Natural Flakes</v>
      </c>
      <c r="G210" s="1">
        <v>3200</v>
      </c>
      <c r="H210" s="1" t="s">
        <v>9</v>
      </c>
      <c r="I210" s="12">
        <v>45904</v>
      </c>
      <c r="K210" s="4"/>
      <c r="L210" s="3"/>
      <c r="M210" s="4"/>
      <c r="N210" s="5"/>
      <c r="O210" s="4"/>
      <c r="P210" s="5"/>
      <c r="Q210" s="4"/>
      <c r="R210" s="4"/>
      <c r="T210" s="4"/>
      <c r="U210" s="12"/>
      <c r="V210" s="4"/>
      <c r="W210" s="4"/>
      <c r="X210" s="5"/>
      <c r="Y210" s="4"/>
      <c r="Z210" s="5"/>
      <c r="AA210" s="4"/>
      <c r="AB210" s="4"/>
      <c r="AC210" s="19"/>
      <c r="AD210" s="19"/>
    </row>
    <row r="211" spans="1:30">
      <c r="A211" s="21"/>
      <c r="B211" s="12">
        <v>45897</v>
      </c>
      <c r="C211" s="1" t="s">
        <v>247</v>
      </c>
      <c r="D211" s="13" t="s">
        <v>13</v>
      </c>
      <c r="E211" s="1" t="s">
        <v>11</v>
      </c>
      <c r="F211" s="13" t="str">
        <f>VLOOKUP(E211,'Master Kode'!$B$3:$D$13,2,0)</f>
        <v>PET Blue Flakes</v>
      </c>
      <c r="G211" s="1">
        <v>1850</v>
      </c>
      <c r="H211" s="1" t="s">
        <v>9</v>
      </c>
      <c r="I211" s="12">
        <v>45905</v>
      </c>
      <c r="K211" s="4"/>
      <c r="L211" s="3"/>
      <c r="M211" s="4"/>
      <c r="N211" s="5"/>
      <c r="O211" s="4"/>
      <c r="P211" s="5"/>
      <c r="Q211" s="4"/>
      <c r="R211" s="4"/>
      <c r="T211" s="4"/>
      <c r="U211" s="12"/>
      <c r="V211" s="4"/>
      <c r="W211" s="4"/>
      <c r="X211" s="5"/>
      <c r="Y211" s="4"/>
      <c r="Z211" s="5"/>
      <c r="AA211" s="4"/>
      <c r="AB211" s="4"/>
      <c r="AC211" s="19"/>
      <c r="AD211" s="19"/>
    </row>
    <row r="212" spans="1:30">
      <c r="A212" s="21"/>
      <c r="B212" s="12">
        <v>45898</v>
      </c>
      <c r="C212" s="1" t="s">
        <v>248</v>
      </c>
      <c r="D212" s="13" t="s">
        <v>16</v>
      </c>
      <c r="E212" s="1" t="s">
        <v>17</v>
      </c>
      <c r="F212" s="13" t="str">
        <f>VLOOKUP(E212,'Master Kode'!$B$3:$D$13,2,0)</f>
        <v>HDPE Mixed Color Flakes</v>
      </c>
      <c r="G212" s="1">
        <v>2600</v>
      </c>
      <c r="H212" s="1" t="s">
        <v>9</v>
      </c>
      <c r="I212" s="12">
        <v>45906</v>
      </c>
      <c r="K212" s="4"/>
      <c r="L212" s="3"/>
      <c r="M212" s="4"/>
      <c r="N212" s="5"/>
      <c r="O212" s="4"/>
      <c r="P212" s="5"/>
      <c r="Q212" s="4"/>
      <c r="R212" s="4"/>
      <c r="T212" s="4"/>
      <c r="U212" s="12"/>
      <c r="V212" s="4"/>
      <c r="W212" s="4"/>
      <c r="X212" s="5"/>
      <c r="Y212" s="4"/>
      <c r="Z212" s="5"/>
      <c r="AA212" s="4"/>
      <c r="AB212" s="4"/>
      <c r="AC212" s="19"/>
      <c r="AD212" s="19"/>
    </row>
    <row r="213" spans="1:30">
      <c r="A213" s="21"/>
      <c r="B213" s="12">
        <v>45898</v>
      </c>
      <c r="C213" s="1" t="s">
        <v>249</v>
      </c>
      <c r="D213" s="13" t="s">
        <v>22</v>
      </c>
      <c r="E213" s="1" t="s">
        <v>23</v>
      </c>
      <c r="F213" s="13" t="str">
        <f>VLOOKUP(E213,'Master Kode'!$B$3:$D$13,2,0)</f>
        <v>PET Green Flakes</v>
      </c>
      <c r="G213" s="1">
        <v>2980</v>
      </c>
      <c r="H213" s="1" t="s">
        <v>9</v>
      </c>
      <c r="I213" s="12">
        <v>45907</v>
      </c>
      <c r="K213" s="4"/>
      <c r="L213" s="3"/>
      <c r="M213" s="4"/>
      <c r="N213" s="5"/>
      <c r="O213" s="4"/>
      <c r="P213" s="5"/>
      <c r="Q213" s="4"/>
      <c r="R213" s="4"/>
      <c r="T213" s="4"/>
      <c r="U213" s="12"/>
      <c r="V213" s="4"/>
      <c r="W213" s="4"/>
      <c r="X213" s="5"/>
      <c r="Y213" s="4"/>
      <c r="Z213" s="5"/>
      <c r="AA213" s="4"/>
      <c r="AB213" s="4"/>
      <c r="AC213" s="19"/>
      <c r="AD213" s="19"/>
    </row>
    <row r="214" spans="1:30">
      <c r="A214" s="21"/>
      <c r="B214" s="12">
        <v>45899</v>
      </c>
      <c r="C214" s="1" t="s">
        <v>250</v>
      </c>
      <c r="D214" s="13" t="s">
        <v>19</v>
      </c>
      <c r="E214" s="1" t="s">
        <v>20</v>
      </c>
      <c r="F214" s="13" t="str">
        <f>VLOOKUP(E214,'Master Kode'!$B$3:$D$13,2,0)</f>
        <v>PP Injection Flakes</v>
      </c>
      <c r="G214" s="1">
        <v>3350</v>
      </c>
      <c r="H214" s="1" t="s">
        <v>9</v>
      </c>
      <c r="I214" s="12">
        <v>45907</v>
      </c>
      <c r="K214" s="4"/>
      <c r="L214" s="3"/>
      <c r="M214" s="4"/>
      <c r="N214" s="5"/>
      <c r="O214" s="4"/>
      <c r="P214" s="5"/>
      <c r="Q214" s="4"/>
      <c r="R214" s="4"/>
      <c r="T214" s="4"/>
      <c r="U214" s="12"/>
      <c r="V214" s="4"/>
      <c r="W214" s="4"/>
      <c r="X214" s="5"/>
      <c r="Y214" s="4"/>
      <c r="Z214" s="5"/>
      <c r="AA214" s="4"/>
      <c r="AB214" s="4"/>
      <c r="AC214" s="19"/>
      <c r="AD214" s="19"/>
    </row>
    <row r="215" spans="1:30">
      <c r="A215" s="21"/>
      <c r="B215" s="12">
        <v>45900</v>
      </c>
      <c r="C215" s="1" t="s">
        <v>251</v>
      </c>
      <c r="D215" s="13" t="s">
        <v>25</v>
      </c>
      <c r="E215" s="1" t="s">
        <v>26</v>
      </c>
      <c r="F215" s="13" t="str">
        <f>VLOOKUP(E215,'Master Kode'!$B$3:$D$13,2,0)</f>
        <v>HDPE Blue Drum Flakes</v>
      </c>
      <c r="G215" s="1">
        <v>1740</v>
      </c>
      <c r="H215" s="1" t="s">
        <v>9</v>
      </c>
      <c r="I215" s="12">
        <v>45908</v>
      </c>
      <c r="K215" s="4"/>
      <c r="L215" s="3"/>
      <c r="M215" s="4"/>
      <c r="N215" s="5"/>
      <c r="O215" s="4"/>
      <c r="P215" s="5"/>
      <c r="Q215" s="4"/>
      <c r="R215" s="4"/>
      <c r="T215" s="4"/>
      <c r="U215" s="12"/>
      <c r="V215" s="4"/>
      <c r="W215" s="4"/>
      <c r="X215" s="5"/>
      <c r="Y215" s="4"/>
      <c r="Z215" s="5"/>
      <c r="AA215" s="4"/>
      <c r="AB215" s="4"/>
      <c r="AC215" s="19"/>
      <c r="AD215" s="19"/>
    </row>
    <row r="216" spans="1:30">
      <c r="A216" s="21"/>
      <c r="B216" s="12">
        <v>45901</v>
      </c>
      <c r="C216" s="1" t="s">
        <v>252</v>
      </c>
      <c r="D216" s="13" t="s">
        <v>6</v>
      </c>
      <c r="E216" s="1" t="s">
        <v>7</v>
      </c>
      <c r="F216" s="13" t="str">
        <f>VLOOKUP(E216,'Master Kode'!$B$3:$D$13,2,0)</f>
        <v>PET Clear Flakes</v>
      </c>
      <c r="G216" s="1">
        <v>2860</v>
      </c>
      <c r="H216" s="1" t="s">
        <v>9</v>
      </c>
      <c r="I216" s="12">
        <v>45909</v>
      </c>
      <c r="K216" s="4"/>
      <c r="L216" s="3"/>
      <c r="M216" s="4"/>
      <c r="N216" s="5"/>
      <c r="O216" s="4"/>
      <c r="P216" s="5"/>
      <c r="Q216" s="4"/>
      <c r="R216" s="4"/>
      <c r="T216" s="4"/>
      <c r="U216" s="12"/>
      <c r="V216" s="4"/>
      <c r="W216" s="4"/>
      <c r="X216" s="5"/>
      <c r="Y216" s="4"/>
      <c r="Z216" s="5"/>
      <c r="AA216" s="4"/>
      <c r="AB216" s="4"/>
      <c r="AC216" s="19"/>
      <c r="AD216" s="19"/>
    </row>
    <row r="217" spans="1:30">
      <c r="A217" s="21"/>
      <c r="B217" s="12">
        <v>45902</v>
      </c>
      <c r="C217" s="1" t="s">
        <v>253</v>
      </c>
      <c r="D217" s="13" t="s">
        <v>10</v>
      </c>
      <c r="E217" s="1" t="s">
        <v>28</v>
      </c>
      <c r="F217" s="13" t="str">
        <f>VLOOKUP(E217,'Master Kode'!$B$3:$D$13,2,0)</f>
        <v>PET Mixed Color Flakes</v>
      </c>
      <c r="G217" s="1">
        <v>3100</v>
      </c>
      <c r="H217" s="1" t="s">
        <v>9</v>
      </c>
      <c r="I217" s="12">
        <v>45910</v>
      </c>
      <c r="K217" s="4"/>
      <c r="L217" s="3"/>
      <c r="M217" s="4"/>
      <c r="N217" s="5"/>
      <c r="O217" s="4"/>
      <c r="P217" s="5"/>
      <c r="Q217" s="4"/>
      <c r="R217" s="4"/>
      <c r="T217" s="4"/>
      <c r="U217" s="12"/>
      <c r="V217" s="4"/>
      <c r="W217" s="4"/>
      <c r="X217" s="5"/>
      <c r="Y217" s="4"/>
      <c r="Z217" s="5"/>
      <c r="AA217" s="4"/>
      <c r="AB217" s="4"/>
      <c r="AC217" s="19"/>
      <c r="AD217" s="19"/>
    </row>
    <row r="218" spans="1:30">
      <c r="A218" s="21"/>
      <c r="B218" s="12">
        <v>45903</v>
      </c>
      <c r="C218" s="1" t="s">
        <v>254</v>
      </c>
      <c r="D218" s="13" t="s">
        <v>13</v>
      </c>
      <c r="E218" s="1" t="s">
        <v>14</v>
      </c>
      <c r="F218" s="13" t="str">
        <f>VLOOKUP(E218,'Master Kode'!$B$3:$D$13,2,0)</f>
        <v>HDPE Natural Flakes</v>
      </c>
      <c r="G218" s="1">
        <v>2450</v>
      </c>
      <c r="H218" s="1" t="s">
        <v>9</v>
      </c>
      <c r="I218" s="12">
        <v>45911</v>
      </c>
      <c r="K218" s="4"/>
      <c r="L218" s="3"/>
      <c r="M218" s="4"/>
      <c r="N218" s="5"/>
      <c r="O218" s="4"/>
      <c r="P218" s="5"/>
      <c r="Q218" s="4"/>
      <c r="R218" s="4"/>
      <c r="T218" s="4"/>
      <c r="U218" s="12"/>
      <c r="V218" s="4"/>
      <c r="W218" s="4"/>
      <c r="X218" s="5"/>
      <c r="Y218" s="4"/>
      <c r="Z218" s="5"/>
      <c r="AA218" s="4"/>
      <c r="AB218" s="4"/>
      <c r="AC218" s="19"/>
      <c r="AD218" s="19"/>
    </row>
    <row r="219" spans="1:30">
      <c r="A219" s="21"/>
      <c r="B219" s="12">
        <v>45904</v>
      </c>
      <c r="C219" s="1" t="s">
        <v>255</v>
      </c>
      <c r="D219" s="13" t="s">
        <v>16</v>
      </c>
      <c r="E219" s="1" t="s">
        <v>30</v>
      </c>
      <c r="F219" s="13" t="str">
        <f>VLOOKUP(E219,'Master Kode'!$B$3:$D$13,2,0)</f>
        <v>PP White Flakes</v>
      </c>
      <c r="G219" s="1">
        <v>2100</v>
      </c>
      <c r="H219" s="1" t="s">
        <v>9</v>
      </c>
      <c r="I219" s="12">
        <v>45912</v>
      </c>
      <c r="K219" s="4"/>
      <c r="L219" s="3"/>
      <c r="M219" s="4"/>
      <c r="N219" s="5"/>
      <c r="O219" s="4"/>
      <c r="P219" s="5"/>
      <c r="Q219" s="4"/>
      <c r="R219" s="4"/>
      <c r="T219" s="4"/>
      <c r="U219" s="12"/>
      <c r="V219" s="4"/>
      <c r="W219" s="4"/>
      <c r="X219" s="5"/>
      <c r="Y219" s="4"/>
      <c r="Z219" s="5"/>
      <c r="AA219" s="4"/>
      <c r="AB219" s="4"/>
      <c r="AC219" s="19"/>
      <c r="AD219" s="19"/>
    </row>
    <row r="220" spans="1:30">
      <c r="A220" s="21"/>
      <c r="B220" s="12">
        <v>45905</v>
      </c>
      <c r="C220" s="1" t="s">
        <v>256</v>
      </c>
      <c r="D220" s="13" t="s">
        <v>22</v>
      </c>
      <c r="E220" s="1" t="s">
        <v>23</v>
      </c>
      <c r="F220" s="13" t="str">
        <f>VLOOKUP(E220,'Master Kode'!$B$3:$D$13,2,0)</f>
        <v>PET Green Flakes</v>
      </c>
      <c r="G220" s="1">
        <v>3750</v>
      </c>
      <c r="H220" s="1" t="s">
        <v>9</v>
      </c>
      <c r="I220" s="12">
        <v>45913</v>
      </c>
      <c r="K220" s="4"/>
      <c r="L220" s="3"/>
      <c r="M220" s="4"/>
      <c r="N220" s="5"/>
      <c r="O220" s="4"/>
      <c r="P220" s="5"/>
      <c r="Q220" s="4"/>
      <c r="R220" s="4"/>
      <c r="T220" s="4"/>
      <c r="U220" s="12"/>
      <c r="V220" s="4"/>
      <c r="W220" s="4"/>
      <c r="X220" s="5"/>
      <c r="Y220" s="4"/>
      <c r="Z220" s="5"/>
      <c r="AA220" s="4"/>
      <c r="AB220" s="4"/>
      <c r="AC220" s="19"/>
      <c r="AD220" s="19"/>
    </row>
    <row r="221" spans="1:30">
      <c r="A221" s="21"/>
      <c r="B221" s="12">
        <v>45905</v>
      </c>
      <c r="C221" s="1" t="s">
        <v>257</v>
      </c>
      <c r="D221" s="13" t="s">
        <v>19</v>
      </c>
      <c r="E221" s="1" t="s">
        <v>17</v>
      </c>
      <c r="F221" s="13" t="str">
        <f>VLOOKUP(E221,'Master Kode'!$B$3:$D$13,2,0)</f>
        <v>HDPE Mixed Color Flakes</v>
      </c>
      <c r="G221" s="1">
        <v>2980</v>
      </c>
      <c r="H221" s="1" t="s">
        <v>9</v>
      </c>
      <c r="I221" s="12">
        <v>45913</v>
      </c>
      <c r="K221" s="4"/>
      <c r="L221" s="3"/>
      <c r="M221" s="4"/>
      <c r="N221" s="5"/>
      <c r="O221" s="4"/>
      <c r="P221" s="5"/>
      <c r="Q221" s="4"/>
      <c r="R221" s="4"/>
      <c r="T221" s="4"/>
      <c r="U221" s="12"/>
      <c r="V221" s="4"/>
      <c r="W221" s="4"/>
      <c r="X221" s="5"/>
      <c r="Y221" s="4"/>
      <c r="Z221" s="5"/>
      <c r="AA221" s="4"/>
      <c r="AB221" s="4"/>
      <c r="AC221" s="19"/>
      <c r="AD221" s="19"/>
    </row>
    <row r="222" spans="1:30">
      <c r="A222" s="21"/>
      <c r="B222" s="12">
        <v>45906</v>
      </c>
      <c r="C222" s="1" t="s">
        <v>258</v>
      </c>
      <c r="D222" s="13" t="s">
        <v>25</v>
      </c>
      <c r="E222" s="1" t="s">
        <v>32</v>
      </c>
      <c r="F222" s="13" t="str">
        <f>VLOOKUP(E222,'Master Kode'!$B$3:$D$13,2,0)</f>
        <v>HDPE Bottle Cap Flakes</v>
      </c>
      <c r="G222" s="1">
        <v>1540</v>
      </c>
      <c r="H222" s="1" t="s">
        <v>9</v>
      </c>
      <c r="I222" s="12">
        <v>45914</v>
      </c>
      <c r="K222" s="4"/>
      <c r="L222" s="3"/>
      <c r="M222" s="4"/>
      <c r="N222" s="5"/>
      <c r="O222" s="4"/>
      <c r="P222" s="5"/>
      <c r="Q222" s="4"/>
      <c r="R222" s="4"/>
      <c r="T222" s="4"/>
      <c r="U222" s="12"/>
      <c r="V222" s="4"/>
      <c r="W222" s="4"/>
      <c r="X222" s="5"/>
      <c r="Y222" s="4"/>
      <c r="Z222" s="5"/>
      <c r="AA222" s="4"/>
      <c r="AB222" s="4"/>
      <c r="AC222" s="19"/>
      <c r="AD222" s="19"/>
    </row>
    <row r="223" spans="1:30">
      <c r="A223" s="21"/>
      <c r="B223" s="12">
        <v>45907</v>
      </c>
      <c r="C223" s="1" t="s">
        <v>259</v>
      </c>
      <c r="D223" s="13" t="s">
        <v>6</v>
      </c>
      <c r="E223" s="1" t="s">
        <v>34</v>
      </c>
      <c r="F223" s="13" t="str">
        <f>VLOOKUP(E223,'Master Kode'!$B$3:$D$13,2,0)</f>
        <v>PET Hot Washed Flakes</v>
      </c>
      <c r="G223" s="1">
        <v>4050</v>
      </c>
      <c r="H223" s="1" t="s">
        <v>9</v>
      </c>
      <c r="I223" s="12">
        <v>45915</v>
      </c>
      <c r="K223" s="4"/>
      <c r="L223" s="3"/>
      <c r="M223" s="4"/>
      <c r="N223" s="5"/>
      <c r="O223" s="4"/>
      <c r="P223" s="5"/>
      <c r="Q223" s="4"/>
      <c r="R223" s="4"/>
      <c r="T223" s="4"/>
      <c r="U223" s="12"/>
      <c r="V223" s="4"/>
      <c r="W223" s="4"/>
      <c r="X223" s="5"/>
      <c r="Y223" s="4"/>
      <c r="Z223" s="5"/>
      <c r="AA223" s="4"/>
      <c r="AB223" s="4"/>
      <c r="AC223" s="19"/>
      <c r="AD223" s="19"/>
    </row>
    <row r="224" spans="1:30">
      <c r="A224" s="21"/>
      <c r="B224" s="12">
        <v>45908</v>
      </c>
      <c r="C224" s="1" t="s">
        <v>260</v>
      </c>
      <c r="D224" s="13" t="s">
        <v>10</v>
      </c>
      <c r="E224" s="1" t="s">
        <v>11</v>
      </c>
      <c r="F224" s="13" t="str">
        <f>VLOOKUP(E224,'Master Kode'!$B$3:$D$13,2,0)</f>
        <v>PET Blue Flakes</v>
      </c>
      <c r="G224" s="1">
        <v>2600</v>
      </c>
      <c r="H224" s="1" t="s">
        <v>9</v>
      </c>
      <c r="I224" s="12">
        <v>45916</v>
      </c>
      <c r="K224" s="4"/>
      <c r="L224" s="3"/>
      <c r="M224" s="4"/>
      <c r="N224" s="5"/>
      <c r="O224" s="4"/>
      <c r="P224" s="5"/>
      <c r="Q224" s="4"/>
      <c r="R224" s="4"/>
      <c r="T224" s="4"/>
      <c r="U224" s="12"/>
      <c r="V224" s="4"/>
      <c r="W224" s="4"/>
      <c r="X224" s="5"/>
      <c r="Y224" s="4"/>
      <c r="Z224" s="5"/>
      <c r="AA224" s="4"/>
      <c r="AB224" s="4"/>
      <c r="AC224" s="19"/>
      <c r="AD224" s="19"/>
    </row>
    <row r="225" spans="1:30">
      <c r="A225" s="21"/>
      <c r="B225" s="12">
        <v>45909</v>
      </c>
      <c r="C225" s="1" t="s">
        <v>261</v>
      </c>
      <c r="D225" s="13" t="s">
        <v>13</v>
      </c>
      <c r="E225" s="1" t="s">
        <v>20</v>
      </c>
      <c r="F225" s="13" t="str">
        <f>VLOOKUP(E225,'Master Kode'!$B$3:$D$13,2,0)</f>
        <v>PP Injection Flakes</v>
      </c>
      <c r="G225" s="1">
        <v>2300</v>
      </c>
      <c r="H225" s="1" t="s">
        <v>9</v>
      </c>
      <c r="I225" s="12">
        <v>45917</v>
      </c>
      <c r="K225" s="4"/>
      <c r="L225" s="3"/>
      <c r="M225" s="4"/>
      <c r="N225" s="5"/>
      <c r="O225" s="4"/>
      <c r="P225" s="5"/>
      <c r="Q225" s="4"/>
      <c r="R225" s="4"/>
      <c r="T225" s="4"/>
      <c r="U225" s="12"/>
      <c r="V225" s="4"/>
      <c r="W225" s="4"/>
      <c r="X225" s="5"/>
      <c r="Y225" s="4"/>
      <c r="Z225" s="5"/>
      <c r="AA225" s="4"/>
      <c r="AB225" s="4"/>
      <c r="AC225" s="19"/>
      <c r="AD225" s="19"/>
    </row>
    <row r="226" spans="1:30">
      <c r="A226" s="21"/>
      <c r="B226" s="12">
        <v>45910</v>
      </c>
      <c r="C226" s="1" t="s">
        <v>262</v>
      </c>
      <c r="D226" s="13" t="s">
        <v>16</v>
      </c>
      <c r="E226" s="1" t="s">
        <v>7</v>
      </c>
      <c r="F226" s="13" t="str">
        <f>VLOOKUP(E226,'Master Kode'!$B$3:$D$13,2,0)</f>
        <v>PET Clear Flakes</v>
      </c>
      <c r="G226" s="1">
        <v>3420</v>
      </c>
      <c r="H226" s="1" t="s">
        <v>9</v>
      </c>
      <c r="I226" s="12">
        <v>45918</v>
      </c>
      <c r="K226" s="4"/>
      <c r="L226" s="3"/>
      <c r="M226" s="4"/>
      <c r="N226" s="5"/>
      <c r="O226" s="4"/>
      <c r="P226" s="5"/>
      <c r="Q226" s="4"/>
      <c r="R226" s="4"/>
      <c r="T226" s="4"/>
      <c r="U226" s="12"/>
      <c r="V226" s="4"/>
      <c r="W226" s="4"/>
      <c r="X226" s="5"/>
      <c r="Y226" s="4"/>
      <c r="Z226" s="5"/>
      <c r="AA226" s="4"/>
      <c r="AB226" s="4"/>
      <c r="AC226" s="19"/>
      <c r="AD226" s="19"/>
    </row>
    <row r="227" spans="1:30">
      <c r="A227" s="21"/>
      <c r="B227" s="12">
        <v>45911</v>
      </c>
      <c r="C227" s="1" t="s">
        <v>263</v>
      </c>
      <c r="D227" s="13" t="s">
        <v>22</v>
      </c>
      <c r="E227" s="1" t="s">
        <v>23</v>
      </c>
      <c r="F227" s="13" t="str">
        <f>VLOOKUP(E227,'Master Kode'!$B$3:$D$13,2,0)</f>
        <v>PET Green Flakes</v>
      </c>
      <c r="G227" s="1">
        <v>2985</v>
      </c>
      <c r="H227" s="1" t="s">
        <v>9</v>
      </c>
      <c r="I227" s="12">
        <v>45919</v>
      </c>
      <c r="K227" s="4"/>
      <c r="L227" s="3"/>
      <c r="M227" s="4"/>
      <c r="N227" s="5"/>
      <c r="O227" s="4"/>
      <c r="P227" s="5"/>
      <c r="Q227" s="4"/>
      <c r="R227" s="4"/>
      <c r="T227" s="4"/>
      <c r="U227" s="12"/>
      <c r="V227" s="4"/>
      <c r="W227" s="4"/>
      <c r="X227" s="5"/>
      <c r="Y227" s="4"/>
      <c r="Z227" s="5"/>
      <c r="AA227" s="4"/>
      <c r="AB227" s="4"/>
      <c r="AC227" s="19"/>
      <c r="AD227" s="19"/>
    </row>
    <row r="228" spans="1:30">
      <c r="A228" s="21"/>
      <c r="B228" s="12">
        <v>45912</v>
      </c>
      <c r="C228" s="1" t="s">
        <v>264</v>
      </c>
      <c r="D228" s="13" t="s">
        <v>19</v>
      </c>
      <c r="E228" s="1" t="s">
        <v>14</v>
      </c>
      <c r="F228" s="13" t="str">
        <f>VLOOKUP(E228,'Master Kode'!$B$3:$D$13,2,0)</f>
        <v>HDPE Natural Flakes</v>
      </c>
      <c r="G228" s="1">
        <v>3150</v>
      </c>
      <c r="H228" s="1" t="s">
        <v>9</v>
      </c>
      <c r="I228" s="12">
        <v>45920</v>
      </c>
      <c r="K228" s="4"/>
      <c r="L228" s="3"/>
      <c r="M228" s="4"/>
      <c r="N228" s="5"/>
      <c r="O228" s="4"/>
      <c r="P228" s="5"/>
      <c r="Q228" s="4"/>
      <c r="R228" s="4"/>
      <c r="T228" s="4"/>
      <c r="U228" s="12"/>
      <c r="V228" s="4"/>
      <c r="W228" s="4"/>
      <c r="X228" s="5"/>
      <c r="Y228" s="4"/>
      <c r="Z228" s="5"/>
      <c r="AA228" s="4"/>
      <c r="AB228" s="4"/>
      <c r="AC228" s="19"/>
      <c r="AD228" s="19"/>
    </row>
    <row r="229" spans="1:30">
      <c r="A229" s="21"/>
      <c r="B229" s="12">
        <v>45913</v>
      </c>
      <c r="C229" s="1" t="s">
        <v>265</v>
      </c>
      <c r="D229" s="13" t="s">
        <v>25</v>
      </c>
      <c r="E229" s="1" t="s">
        <v>26</v>
      </c>
      <c r="F229" s="13" t="str">
        <f>VLOOKUP(E229,'Master Kode'!$B$3:$D$13,2,0)</f>
        <v>HDPE Blue Drum Flakes</v>
      </c>
      <c r="G229" s="1">
        <v>1840</v>
      </c>
      <c r="H229" s="1" t="s">
        <v>9</v>
      </c>
      <c r="I229" s="12">
        <v>45921</v>
      </c>
      <c r="K229" s="4"/>
      <c r="L229" s="3"/>
      <c r="M229" s="4"/>
      <c r="N229" s="5"/>
      <c r="O229" s="4"/>
      <c r="P229" s="5"/>
      <c r="Q229" s="4"/>
      <c r="R229" s="4"/>
      <c r="T229" s="4"/>
      <c r="U229" s="12"/>
      <c r="V229" s="4"/>
      <c r="W229" s="4"/>
      <c r="X229" s="5"/>
      <c r="Y229" s="4"/>
      <c r="Z229" s="5"/>
      <c r="AA229" s="4"/>
      <c r="AB229" s="4"/>
      <c r="AC229" s="19"/>
      <c r="AD229" s="19"/>
    </row>
    <row r="230" spans="1:30">
      <c r="A230" s="21"/>
      <c r="B230" s="12">
        <v>45914</v>
      </c>
      <c r="C230" s="1" t="s">
        <v>266</v>
      </c>
      <c r="D230" s="13" t="s">
        <v>6</v>
      </c>
      <c r="E230" s="1" t="s">
        <v>34</v>
      </c>
      <c r="F230" s="13" t="str">
        <f>VLOOKUP(E230,'Master Kode'!$B$3:$D$13,2,0)</f>
        <v>PET Hot Washed Flakes</v>
      </c>
      <c r="G230" s="1">
        <v>4200</v>
      </c>
      <c r="H230" s="1" t="s">
        <v>9</v>
      </c>
      <c r="I230" s="12">
        <v>45922</v>
      </c>
      <c r="K230" s="4"/>
      <c r="L230" s="3"/>
      <c r="M230" s="4"/>
      <c r="N230" s="5"/>
      <c r="O230" s="4"/>
      <c r="P230" s="5"/>
      <c r="Q230" s="4"/>
      <c r="R230" s="4"/>
      <c r="T230" s="4"/>
      <c r="U230" s="12"/>
      <c r="V230" s="4"/>
      <c r="W230" s="4"/>
      <c r="X230" s="5"/>
      <c r="Y230" s="4"/>
      <c r="Z230" s="5"/>
      <c r="AA230" s="4"/>
      <c r="AB230" s="4"/>
      <c r="AC230" s="19"/>
      <c r="AD230" s="19"/>
    </row>
    <row r="231" spans="1:30">
      <c r="A231" s="21"/>
      <c r="B231" s="12">
        <v>45915</v>
      </c>
      <c r="C231" s="1" t="s">
        <v>267</v>
      </c>
      <c r="D231" s="13" t="s">
        <v>10</v>
      </c>
      <c r="E231" s="1" t="s">
        <v>17</v>
      </c>
      <c r="F231" s="13" t="str">
        <f>VLOOKUP(E231,'Master Kode'!$B$3:$D$13,2,0)</f>
        <v>HDPE Mixed Color Flakes</v>
      </c>
      <c r="G231" s="1">
        <v>2990</v>
      </c>
      <c r="H231" s="1" t="s">
        <v>9</v>
      </c>
      <c r="I231" s="12">
        <v>45923</v>
      </c>
      <c r="K231" s="4"/>
      <c r="L231" s="3"/>
      <c r="M231" s="4"/>
      <c r="N231" s="5"/>
      <c r="O231" s="4"/>
      <c r="P231" s="5"/>
      <c r="Q231" s="4"/>
      <c r="R231" s="4"/>
      <c r="T231" s="4"/>
      <c r="U231" s="12"/>
      <c r="V231" s="4"/>
      <c r="W231" s="4"/>
      <c r="X231" s="5"/>
      <c r="Y231" s="4"/>
      <c r="Z231" s="5"/>
      <c r="AA231" s="4"/>
      <c r="AB231" s="4"/>
      <c r="AC231" s="19"/>
      <c r="AD231" s="19"/>
    </row>
    <row r="232" spans="1:30">
      <c r="A232" s="21"/>
      <c r="B232" s="12">
        <v>45916</v>
      </c>
      <c r="C232" s="1" t="s">
        <v>268</v>
      </c>
      <c r="D232" s="13" t="s">
        <v>13</v>
      </c>
      <c r="E232" s="1" t="s">
        <v>30</v>
      </c>
      <c r="F232" s="13" t="str">
        <f>VLOOKUP(E232,'Master Kode'!$B$3:$D$13,2,0)</f>
        <v>PP White Flakes</v>
      </c>
      <c r="G232" s="1">
        <v>2500</v>
      </c>
      <c r="H232" s="1" t="s">
        <v>9</v>
      </c>
      <c r="I232" s="12">
        <v>45924</v>
      </c>
      <c r="K232" s="4"/>
      <c r="L232" s="3"/>
      <c r="M232" s="4"/>
      <c r="N232" s="5"/>
      <c r="O232" s="4"/>
      <c r="P232" s="5"/>
      <c r="Q232" s="4"/>
      <c r="R232" s="4"/>
      <c r="T232" s="4"/>
      <c r="U232" s="12"/>
      <c r="V232" s="4"/>
      <c r="W232" s="4"/>
      <c r="X232" s="5"/>
      <c r="Y232" s="4"/>
      <c r="Z232" s="5"/>
      <c r="AA232" s="4"/>
      <c r="AB232" s="4"/>
      <c r="AC232" s="19"/>
      <c r="AD232" s="19"/>
    </row>
    <row r="233" spans="1:30">
      <c r="A233" s="21"/>
      <c r="B233" s="12">
        <v>45917</v>
      </c>
      <c r="C233" s="1" t="s">
        <v>269</v>
      </c>
      <c r="D233" s="13" t="s">
        <v>16</v>
      </c>
      <c r="E233" s="1" t="s">
        <v>11</v>
      </c>
      <c r="F233" s="13" t="str">
        <f>VLOOKUP(E233,'Master Kode'!$B$3:$D$13,2,0)</f>
        <v>PET Blue Flakes</v>
      </c>
      <c r="G233" s="1">
        <v>2680</v>
      </c>
      <c r="H233" s="1" t="s">
        <v>9</v>
      </c>
      <c r="I233" s="12">
        <v>45925</v>
      </c>
      <c r="K233" s="4"/>
      <c r="L233" s="3"/>
      <c r="M233" s="4"/>
      <c r="N233" s="5"/>
      <c r="O233" s="4"/>
      <c r="P233" s="5"/>
      <c r="Q233" s="4"/>
      <c r="R233" s="4"/>
      <c r="T233" s="4"/>
      <c r="U233" s="12"/>
      <c r="V233" s="4"/>
      <c r="W233" s="4"/>
      <c r="X233" s="5"/>
      <c r="Y233" s="4"/>
      <c r="Z233" s="5"/>
      <c r="AA233" s="4"/>
      <c r="AB233" s="4"/>
      <c r="AC233" s="19"/>
      <c r="AD233" s="19"/>
    </row>
    <row r="234" spans="1:30">
      <c r="A234" s="21"/>
      <c r="B234" s="12">
        <v>45918</v>
      </c>
      <c r="C234" s="1" t="s">
        <v>270</v>
      </c>
      <c r="D234" s="13" t="s">
        <v>22</v>
      </c>
      <c r="E234" s="1" t="s">
        <v>28</v>
      </c>
      <c r="F234" s="13" t="str">
        <f>VLOOKUP(E234,'Master Kode'!$B$3:$D$13,2,0)</f>
        <v>PET Mixed Color Flakes</v>
      </c>
      <c r="G234" s="1">
        <v>3100</v>
      </c>
      <c r="H234" s="1" t="s">
        <v>9</v>
      </c>
      <c r="I234" s="12">
        <v>45926</v>
      </c>
      <c r="K234" s="4"/>
      <c r="L234" s="3"/>
      <c r="M234" s="4"/>
      <c r="N234" s="5"/>
      <c r="O234" s="4"/>
      <c r="P234" s="5"/>
      <c r="Q234" s="4"/>
      <c r="R234" s="4"/>
      <c r="T234" s="4"/>
      <c r="U234" s="12"/>
      <c r="V234" s="4"/>
      <c r="W234" s="4"/>
      <c r="X234" s="5"/>
      <c r="Y234" s="4"/>
      <c r="Z234" s="5"/>
      <c r="AA234" s="4"/>
      <c r="AB234" s="4"/>
      <c r="AC234" s="19"/>
      <c r="AD234" s="19"/>
    </row>
    <row r="235" spans="1:30">
      <c r="A235" s="21"/>
      <c r="B235" s="12">
        <v>45919</v>
      </c>
      <c r="C235" s="1" t="s">
        <v>271</v>
      </c>
      <c r="D235" s="13" t="s">
        <v>19</v>
      </c>
      <c r="E235" s="1" t="s">
        <v>20</v>
      </c>
      <c r="F235" s="13" t="str">
        <f>VLOOKUP(E235,'Master Kode'!$B$3:$D$13,2,0)</f>
        <v>PP Injection Flakes</v>
      </c>
      <c r="G235" s="1">
        <v>3450</v>
      </c>
      <c r="H235" s="1" t="s">
        <v>9</v>
      </c>
      <c r="I235" s="12">
        <v>45927</v>
      </c>
      <c r="K235" s="4"/>
      <c r="L235" s="3"/>
      <c r="M235" s="4"/>
      <c r="N235" s="5"/>
      <c r="O235" s="4"/>
      <c r="P235" s="5"/>
      <c r="Q235" s="4"/>
      <c r="R235" s="4"/>
      <c r="T235" s="4"/>
      <c r="U235" s="12"/>
      <c r="V235" s="4"/>
      <c r="W235" s="4"/>
      <c r="X235" s="5"/>
      <c r="Y235" s="4"/>
      <c r="Z235" s="5"/>
      <c r="AA235" s="4"/>
      <c r="AB235" s="4"/>
      <c r="AC235" s="19"/>
      <c r="AD235" s="19"/>
    </row>
    <row r="236" spans="1:30">
      <c r="A236" s="21"/>
      <c r="B236" s="12">
        <v>45926</v>
      </c>
      <c r="C236" s="1" t="s">
        <v>272</v>
      </c>
      <c r="D236" s="13" t="s">
        <v>6</v>
      </c>
      <c r="E236" s="1" t="s">
        <v>7</v>
      </c>
      <c r="F236" s="13" t="str">
        <f>VLOOKUP(E236,'Master Kode'!$B$3:$D$13,2,0)</f>
        <v>PET Clear Flakes</v>
      </c>
      <c r="G236" s="1">
        <v>2100</v>
      </c>
      <c r="H236" s="1" t="s">
        <v>9</v>
      </c>
      <c r="I236" s="12">
        <v>45933</v>
      </c>
      <c r="K236" s="4"/>
      <c r="L236" s="3"/>
      <c r="M236" s="4"/>
      <c r="N236" s="5"/>
      <c r="O236" s="4"/>
      <c r="P236" s="5"/>
      <c r="Q236" s="4"/>
      <c r="R236" s="4"/>
      <c r="T236" s="4"/>
      <c r="U236" s="12"/>
      <c r="V236" s="4"/>
      <c r="W236" s="4"/>
      <c r="X236" s="5"/>
      <c r="Y236" s="4"/>
      <c r="Z236" s="5"/>
      <c r="AA236" s="4"/>
      <c r="AB236" s="4"/>
      <c r="AC236" s="19"/>
      <c r="AD236" s="19"/>
    </row>
    <row r="237" spans="1:30">
      <c r="A237" s="21"/>
      <c r="B237" s="12">
        <v>45927</v>
      </c>
      <c r="C237" s="1" t="s">
        <v>273</v>
      </c>
      <c r="D237" s="13" t="s">
        <v>10</v>
      </c>
      <c r="E237" s="1" t="s">
        <v>11</v>
      </c>
      <c r="F237" s="13" t="str">
        <f>VLOOKUP(E237,'Master Kode'!$B$3:$D$13,2,0)</f>
        <v>PET Blue Flakes</v>
      </c>
      <c r="G237" s="1">
        <v>1850</v>
      </c>
      <c r="H237" s="1" t="s">
        <v>9</v>
      </c>
      <c r="I237" s="12">
        <v>45935</v>
      </c>
      <c r="K237" s="4"/>
      <c r="L237" s="3"/>
      <c r="M237" s="4"/>
      <c r="N237" s="5"/>
      <c r="O237" s="4"/>
      <c r="P237" s="5"/>
      <c r="Q237" s="4"/>
      <c r="R237" s="4"/>
      <c r="T237" s="4"/>
      <c r="U237" s="12"/>
      <c r="V237" s="4"/>
      <c r="W237" s="4"/>
      <c r="X237" s="5"/>
      <c r="Y237" s="4"/>
      <c r="Z237" s="5"/>
      <c r="AA237" s="4"/>
      <c r="AB237" s="4"/>
      <c r="AC237" s="19"/>
      <c r="AD237" s="19"/>
    </row>
    <row r="238" spans="1:30">
      <c r="A238" s="21"/>
      <c r="B238" s="12">
        <v>45928</v>
      </c>
      <c r="C238" s="1" t="s">
        <v>274</v>
      </c>
      <c r="D238" s="13" t="s">
        <v>13</v>
      </c>
      <c r="E238" s="1" t="s">
        <v>14</v>
      </c>
      <c r="F238" s="13" t="str">
        <f>VLOOKUP(E238,'Master Kode'!$B$3:$D$13,2,0)</f>
        <v>HDPE Natural Flakes</v>
      </c>
      <c r="G238" s="1">
        <v>3200</v>
      </c>
      <c r="H238" s="1" t="s">
        <v>9</v>
      </c>
      <c r="I238" s="12">
        <v>45936</v>
      </c>
      <c r="K238" s="4"/>
      <c r="L238" s="3"/>
      <c r="M238" s="4"/>
      <c r="N238" s="5"/>
      <c r="O238" s="4"/>
      <c r="P238" s="5"/>
      <c r="Q238" s="4"/>
      <c r="R238" s="4"/>
      <c r="T238" s="4"/>
      <c r="U238" s="12"/>
      <c r="V238" s="4"/>
      <c r="W238" s="4"/>
      <c r="X238" s="5"/>
      <c r="Y238" s="4"/>
      <c r="Z238" s="5"/>
      <c r="AA238" s="4"/>
      <c r="AB238" s="4"/>
      <c r="AC238" s="19"/>
      <c r="AD238" s="19"/>
    </row>
    <row r="239" spans="1:30">
      <c r="A239" s="21"/>
      <c r="B239" s="12">
        <v>45929</v>
      </c>
      <c r="C239" s="1" t="s">
        <v>275</v>
      </c>
      <c r="D239" s="13" t="s">
        <v>16</v>
      </c>
      <c r="E239" s="1" t="s">
        <v>17</v>
      </c>
      <c r="F239" s="13" t="str">
        <f>VLOOKUP(E239,'Master Kode'!$B$3:$D$13,2,0)</f>
        <v>HDPE Mixed Color Flakes</v>
      </c>
      <c r="G239" s="1">
        <v>2750</v>
      </c>
      <c r="H239" s="1" t="s">
        <v>9</v>
      </c>
      <c r="I239" s="12">
        <v>45937</v>
      </c>
      <c r="K239" s="4"/>
      <c r="L239" s="3"/>
      <c r="M239" s="4"/>
      <c r="N239" s="5"/>
      <c r="O239" s="4"/>
      <c r="P239" s="5"/>
      <c r="Q239" s="4"/>
      <c r="R239" s="4"/>
      <c r="T239" s="4"/>
      <c r="U239" s="12"/>
      <c r="V239" s="4"/>
      <c r="W239" s="4"/>
      <c r="X239" s="5"/>
      <c r="Y239" s="4"/>
      <c r="Z239" s="5"/>
      <c r="AA239" s="4"/>
      <c r="AB239" s="4"/>
      <c r="AC239" s="19"/>
      <c r="AD239" s="19"/>
    </row>
    <row r="240" spans="1:30">
      <c r="A240" s="21"/>
      <c r="B240" s="12">
        <v>45930</v>
      </c>
      <c r="C240" s="1" t="s">
        <v>276</v>
      </c>
      <c r="D240" s="13" t="s">
        <v>19</v>
      </c>
      <c r="E240" s="1" t="s">
        <v>20</v>
      </c>
      <c r="F240" s="13" t="str">
        <f>VLOOKUP(E240,'Master Kode'!$B$3:$D$13,2,0)</f>
        <v>PP Injection Flakes</v>
      </c>
      <c r="G240" s="1">
        <v>1980</v>
      </c>
      <c r="H240" s="1" t="s">
        <v>9</v>
      </c>
      <c r="I240" s="12">
        <v>45938</v>
      </c>
      <c r="K240" s="4"/>
      <c r="L240" s="3"/>
      <c r="M240" s="4"/>
      <c r="N240" s="5"/>
      <c r="O240" s="4"/>
      <c r="P240" s="5"/>
      <c r="Q240" s="4"/>
      <c r="R240" s="4"/>
      <c r="T240" s="4"/>
      <c r="U240" s="12"/>
      <c r="V240" s="4"/>
      <c r="W240" s="4"/>
      <c r="X240" s="5"/>
      <c r="Y240" s="4"/>
      <c r="Z240" s="5"/>
      <c r="AA240" s="4"/>
      <c r="AB240" s="4"/>
      <c r="AC240" s="19"/>
      <c r="AD240" s="19"/>
    </row>
    <row r="241" spans="1:30">
      <c r="A241" s="21"/>
      <c r="B241" s="12">
        <v>45931</v>
      </c>
      <c r="C241" s="1" t="s">
        <v>277</v>
      </c>
      <c r="D241" s="13" t="s">
        <v>22</v>
      </c>
      <c r="E241" s="1" t="s">
        <v>23</v>
      </c>
      <c r="F241" s="13" t="str">
        <f>VLOOKUP(E241,'Master Kode'!$B$3:$D$13,2,0)</f>
        <v>PET Green Flakes</v>
      </c>
      <c r="G241" s="1">
        <v>3050</v>
      </c>
      <c r="H241" s="1" t="s">
        <v>9</v>
      </c>
      <c r="I241" s="12">
        <v>45939</v>
      </c>
      <c r="K241" s="4"/>
      <c r="L241" s="3"/>
      <c r="M241" s="4"/>
      <c r="N241" s="5"/>
      <c r="O241" s="4"/>
      <c r="P241" s="5"/>
      <c r="Q241" s="4"/>
      <c r="R241" s="4"/>
      <c r="T241" s="4"/>
      <c r="U241" s="12"/>
      <c r="V241" s="4"/>
      <c r="W241" s="4"/>
      <c r="X241" s="5"/>
      <c r="Y241" s="4"/>
      <c r="Z241" s="5"/>
      <c r="AA241" s="4"/>
      <c r="AB241" s="4"/>
      <c r="AC241" s="19"/>
      <c r="AD241" s="19"/>
    </row>
    <row r="242" spans="1:30">
      <c r="A242" s="21"/>
      <c r="B242" s="12">
        <v>45932</v>
      </c>
      <c r="C242" s="1" t="s">
        <v>278</v>
      </c>
      <c r="D242" s="13" t="s">
        <v>25</v>
      </c>
      <c r="E242" s="1" t="s">
        <v>26</v>
      </c>
      <c r="F242" s="13" t="str">
        <f>VLOOKUP(E242,'Master Kode'!$B$3:$D$13,2,0)</f>
        <v>HDPE Blue Drum Flakes</v>
      </c>
      <c r="G242" s="1">
        <v>2240</v>
      </c>
      <c r="H242" s="1" t="s">
        <v>9</v>
      </c>
      <c r="I242" s="12">
        <v>45940</v>
      </c>
      <c r="K242" s="4"/>
      <c r="L242" s="3"/>
      <c r="M242" s="4"/>
      <c r="N242" s="5"/>
      <c r="O242" s="4"/>
      <c r="P242" s="5"/>
      <c r="Q242" s="4"/>
      <c r="R242" s="4"/>
      <c r="T242" s="4"/>
      <c r="U242" s="12"/>
      <c r="V242" s="4"/>
      <c r="W242" s="4"/>
      <c r="X242" s="5"/>
      <c r="Y242" s="4"/>
      <c r="Z242" s="5"/>
      <c r="AA242" s="4"/>
      <c r="AB242" s="4"/>
      <c r="AC242" s="19"/>
      <c r="AD242" s="19"/>
    </row>
    <row r="243" spans="1:30">
      <c r="A243" s="21"/>
      <c r="B243" s="12">
        <v>45933</v>
      </c>
      <c r="C243" s="1" t="s">
        <v>279</v>
      </c>
      <c r="D243" s="13" t="s">
        <v>6</v>
      </c>
      <c r="E243" s="1" t="s">
        <v>28</v>
      </c>
      <c r="F243" s="13" t="str">
        <f>VLOOKUP(E243,'Master Kode'!$B$3:$D$13,2,0)</f>
        <v>PET Mixed Color Flakes</v>
      </c>
      <c r="G243" s="1">
        <v>2675</v>
      </c>
      <c r="H243" s="1" t="s">
        <v>9</v>
      </c>
      <c r="I243" s="12">
        <v>45941</v>
      </c>
      <c r="K243" s="4"/>
      <c r="L243" s="3"/>
      <c r="M243" s="4"/>
      <c r="N243" s="5"/>
      <c r="O243" s="4"/>
      <c r="P243" s="5"/>
      <c r="Q243" s="4"/>
      <c r="R243" s="4"/>
      <c r="T243" s="4"/>
      <c r="U243" s="12"/>
      <c r="V243" s="4"/>
      <c r="W243" s="4"/>
      <c r="X243" s="5"/>
      <c r="Y243" s="4"/>
      <c r="Z243" s="5"/>
      <c r="AA243" s="4"/>
      <c r="AB243" s="4"/>
      <c r="AC243" s="19"/>
      <c r="AD243" s="19"/>
    </row>
    <row r="244" spans="1:30">
      <c r="A244" s="21"/>
      <c r="B244" s="12">
        <v>45934</v>
      </c>
      <c r="C244" s="1" t="s">
        <v>280</v>
      </c>
      <c r="D244" s="13" t="s">
        <v>10</v>
      </c>
      <c r="E244" s="1" t="s">
        <v>30</v>
      </c>
      <c r="F244" s="13" t="str">
        <f>VLOOKUP(E244,'Master Kode'!$B$3:$D$13,2,0)</f>
        <v>PP White Flakes</v>
      </c>
      <c r="G244" s="1">
        <v>2890</v>
      </c>
      <c r="H244" s="1" t="s">
        <v>9</v>
      </c>
      <c r="I244" s="12">
        <v>45942</v>
      </c>
      <c r="K244" s="4"/>
      <c r="L244" s="3"/>
      <c r="M244" s="4"/>
      <c r="N244" s="5"/>
      <c r="O244" s="4"/>
      <c r="P244" s="5"/>
      <c r="Q244" s="4"/>
      <c r="R244" s="4"/>
      <c r="T244" s="4"/>
      <c r="U244" s="12"/>
      <c r="V244" s="4"/>
      <c r="W244" s="4"/>
      <c r="X244" s="5"/>
      <c r="Y244" s="4"/>
      <c r="Z244" s="5"/>
      <c r="AA244" s="4"/>
      <c r="AB244" s="4"/>
      <c r="AC244" s="19"/>
      <c r="AD244" s="19"/>
    </row>
    <row r="245" spans="1:30">
      <c r="A245" s="21"/>
      <c r="B245" s="12">
        <v>45935</v>
      </c>
      <c r="C245" s="1" t="s">
        <v>281</v>
      </c>
      <c r="D245" s="13" t="s">
        <v>13</v>
      </c>
      <c r="E245" s="1" t="s">
        <v>32</v>
      </c>
      <c r="F245" s="13" t="str">
        <f>VLOOKUP(E245,'Master Kode'!$B$3:$D$13,2,0)</f>
        <v>HDPE Bottle Cap Flakes</v>
      </c>
      <c r="G245" s="1">
        <v>1760</v>
      </c>
      <c r="H245" s="1" t="s">
        <v>9</v>
      </c>
      <c r="I245" s="12">
        <v>45943</v>
      </c>
      <c r="K245" s="4"/>
      <c r="L245" s="3"/>
      <c r="M245" s="4"/>
      <c r="N245" s="5"/>
      <c r="O245" s="4"/>
      <c r="P245" s="5"/>
      <c r="Q245" s="4"/>
      <c r="R245" s="4"/>
      <c r="T245" s="4"/>
      <c r="U245" s="12"/>
      <c r="V245" s="4"/>
      <c r="W245" s="4"/>
      <c r="X245" s="5"/>
      <c r="Y245" s="4"/>
      <c r="Z245" s="5"/>
      <c r="AA245" s="4"/>
      <c r="AB245" s="4"/>
      <c r="AC245" s="19"/>
      <c r="AD245" s="19"/>
    </row>
    <row r="246" spans="1:30">
      <c r="A246" s="21"/>
      <c r="B246" s="12">
        <v>45936</v>
      </c>
      <c r="C246" s="1" t="s">
        <v>282</v>
      </c>
      <c r="D246" s="13" t="s">
        <v>16</v>
      </c>
      <c r="E246" s="1" t="s">
        <v>34</v>
      </c>
      <c r="F246" s="13" t="str">
        <f>VLOOKUP(E246,'Master Kode'!$B$3:$D$13,2,0)</f>
        <v>PET Hot Washed Flakes</v>
      </c>
      <c r="G246" s="1">
        <v>3500</v>
      </c>
      <c r="H246" s="1" t="s">
        <v>9</v>
      </c>
      <c r="I246" s="12">
        <v>45944</v>
      </c>
      <c r="K246" s="4"/>
      <c r="L246" s="3"/>
      <c r="M246" s="4"/>
      <c r="N246" s="5"/>
      <c r="O246" s="4"/>
      <c r="P246" s="5"/>
      <c r="Q246" s="4"/>
      <c r="R246" s="4"/>
      <c r="T246" s="4"/>
      <c r="U246" s="12"/>
      <c r="V246" s="4"/>
      <c r="W246" s="4"/>
      <c r="X246" s="5"/>
      <c r="Y246" s="4"/>
      <c r="Z246" s="5"/>
      <c r="AA246" s="4"/>
      <c r="AB246" s="4"/>
      <c r="AC246" s="19"/>
      <c r="AD246" s="19"/>
    </row>
    <row r="247" spans="1:30">
      <c r="A247" s="21"/>
      <c r="B247" s="12">
        <v>45937</v>
      </c>
      <c r="C247" s="1" t="s">
        <v>283</v>
      </c>
      <c r="D247" s="13" t="s">
        <v>19</v>
      </c>
      <c r="E247" s="1" t="s">
        <v>7</v>
      </c>
      <c r="F247" s="13" t="str">
        <f>VLOOKUP(E247,'Master Kode'!$B$3:$D$13,2,0)</f>
        <v>PET Clear Flakes</v>
      </c>
      <c r="G247" s="1">
        <v>2600</v>
      </c>
      <c r="H247" s="1" t="s">
        <v>9</v>
      </c>
      <c r="I247" s="12">
        <v>45945</v>
      </c>
      <c r="K247" s="4"/>
      <c r="L247" s="3"/>
      <c r="M247" s="4"/>
      <c r="N247" s="5"/>
      <c r="O247" s="4"/>
      <c r="P247" s="5"/>
      <c r="Q247" s="4"/>
      <c r="R247" s="4"/>
      <c r="T247" s="4"/>
      <c r="U247" s="12"/>
      <c r="V247" s="4"/>
      <c r="W247" s="4"/>
      <c r="X247" s="5"/>
      <c r="Y247" s="4"/>
      <c r="Z247" s="5"/>
      <c r="AA247" s="4"/>
      <c r="AB247" s="4"/>
      <c r="AC247" s="19"/>
      <c r="AD247" s="19"/>
    </row>
    <row r="248" spans="1:30">
      <c r="A248" s="21"/>
      <c r="B248" s="12">
        <v>45938</v>
      </c>
      <c r="C248" s="1" t="s">
        <v>284</v>
      </c>
      <c r="D248" s="13" t="s">
        <v>22</v>
      </c>
      <c r="E248" s="1" t="s">
        <v>11</v>
      </c>
      <c r="F248" s="13" t="str">
        <f>VLOOKUP(E248,'Master Kode'!$B$3:$D$13,2,0)</f>
        <v>PET Blue Flakes</v>
      </c>
      <c r="G248" s="1">
        <v>2400</v>
      </c>
      <c r="H248" s="1" t="s">
        <v>9</v>
      </c>
      <c r="I248" s="12">
        <v>45946</v>
      </c>
      <c r="K248" s="4"/>
      <c r="L248" s="3"/>
      <c r="M248" s="4"/>
      <c r="N248" s="5"/>
      <c r="O248" s="4"/>
      <c r="P248" s="5"/>
      <c r="Q248" s="4"/>
      <c r="R248" s="4"/>
      <c r="T248" s="4"/>
      <c r="U248" s="12"/>
      <c r="V248" s="4"/>
      <c r="W248" s="4"/>
      <c r="X248" s="5"/>
      <c r="Y248" s="4"/>
      <c r="Z248" s="5"/>
      <c r="AA248" s="4"/>
      <c r="AB248" s="4"/>
      <c r="AC248" s="19"/>
      <c r="AD248" s="19"/>
    </row>
    <row r="249" spans="1:30">
      <c r="A249" s="21"/>
      <c r="B249" s="12">
        <v>45939</v>
      </c>
      <c r="C249" s="1" t="s">
        <v>285</v>
      </c>
      <c r="D249" s="13" t="s">
        <v>25</v>
      </c>
      <c r="E249" s="1" t="s">
        <v>14</v>
      </c>
      <c r="F249" s="13" t="str">
        <f>VLOOKUP(E249,'Master Kode'!$B$3:$D$13,2,0)</f>
        <v>HDPE Natural Flakes</v>
      </c>
      <c r="G249" s="1">
        <v>3150</v>
      </c>
      <c r="H249" s="1" t="s">
        <v>9</v>
      </c>
      <c r="I249" s="12">
        <v>45947</v>
      </c>
      <c r="K249" s="4"/>
      <c r="L249" s="3"/>
      <c r="M249" s="4"/>
      <c r="N249" s="5"/>
      <c r="O249" s="4"/>
      <c r="P249" s="5"/>
      <c r="Q249" s="4"/>
      <c r="R249" s="4"/>
      <c r="T249" s="4"/>
      <c r="U249" s="12"/>
      <c r="V249" s="4"/>
      <c r="W249" s="4"/>
      <c r="X249" s="5"/>
      <c r="Y249" s="4"/>
      <c r="Z249" s="5"/>
      <c r="AA249" s="4"/>
      <c r="AB249" s="4"/>
      <c r="AC249" s="19"/>
      <c r="AD249" s="19"/>
    </row>
    <row r="250" spans="1:30">
      <c r="A250" s="21"/>
      <c r="B250" s="12">
        <v>45940</v>
      </c>
      <c r="C250" s="1" t="s">
        <v>286</v>
      </c>
      <c r="D250" s="13" t="s">
        <v>6</v>
      </c>
      <c r="E250" s="1" t="s">
        <v>17</v>
      </c>
      <c r="F250" s="13" t="str">
        <f>VLOOKUP(E250,'Master Kode'!$B$3:$D$13,2,0)</f>
        <v>HDPE Mixed Color Flakes</v>
      </c>
      <c r="G250" s="1">
        <v>2210</v>
      </c>
      <c r="H250" s="1" t="s">
        <v>9</v>
      </c>
      <c r="I250" s="12">
        <v>45948</v>
      </c>
      <c r="K250" s="4"/>
      <c r="L250" s="3"/>
      <c r="M250" s="4"/>
      <c r="N250" s="5"/>
      <c r="O250" s="4"/>
      <c r="P250" s="5"/>
      <c r="Q250" s="4"/>
      <c r="R250" s="4"/>
      <c r="T250" s="4"/>
      <c r="U250" s="12"/>
      <c r="V250" s="4"/>
      <c r="W250" s="4"/>
      <c r="X250" s="5"/>
      <c r="Y250" s="4"/>
      <c r="Z250" s="5"/>
      <c r="AA250" s="4"/>
      <c r="AB250" s="4"/>
      <c r="AC250" s="19"/>
      <c r="AD250" s="19"/>
    </row>
    <row r="251" spans="1:30">
      <c r="A251" s="21"/>
      <c r="B251" s="12">
        <v>45941</v>
      </c>
      <c r="C251" s="1" t="s">
        <v>287</v>
      </c>
      <c r="D251" s="13" t="s">
        <v>10</v>
      </c>
      <c r="E251" s="1" t="s">
        <v>20</v>
      </c>
      <c r="F251" s="13" t="str">
        <f>VLOOKUP(E251,'Master Kode'!$B$3:$D$13,2,0)</f>
        <v>PP Injection Flakes</v>
      </c>
      <c r="G251" s="1">
        <v>2750</v>
      </c>
      <c r="H251" s="1" t="s">
        <v>9</v>
      </c>
      <c r="I251" s="12">
        <v>45949</v>
      </c>
      <c r="K251" s="4"/>
      <c r="L251" s="3"/>
      <c r="M251" s="4"/>
      <c r="N251" s="5"/>
      <c r="O251" s="4"/>
      <c r="P251" s="5"/>
      <c r="Q251" s="4"/>
      <c r="R251" s="4"/>
      <c r="T251" s="4"/>
      <c r="U251" s="12"/>
      <c r="V251" s="4"/>
      <c r="W251" s="4"/>
      <c r="X251" s="5"/>
      <c r="Y251" s="4"/>
      <c r="Z251" s="5"/>
      <c r="AA251" s="4"/>
      <c r="AB251" s="4"/>
      <c r="AC251" s="19"/>
      <c r="AD251" s="19"/>
    </row>
    <row r="252" spans="1:30">
      <c r="A252" s="21"/>
      <c r="B252" s="12">
        <v>45942</v>
      </c>
      <c r="C252" s="1" t="s">
        <v>288</v>
      </c>
      <c r="D252" s="13" t="s">
        <v>13</v>
      </c>
      <c r="E252" s="1" t="s">
        <v>23</v>
      </c>
      <c r="F252" s="13" t="str">
        <f>VLOOKUP(E252,'Master Kode'!$B$3:$D$13,2,0)</f>
        <v>PET Green Flakes</v>
      </c>
      <c r="G252" s="1">
        <v>2330</v>
      </c>
      <c r="H252" s="1" t="s">
        <v>9</v>
      </c>
      <c r="I252" s="12">
        <v>45950</v>
      </c>
      <c r="K252" s="4"/>
      <c r="L252" s="3"/>
      <c r="M252" s="4"/>
      <c r="N252" s="5"/>
      <c r="O252" s="4"/>
      <c r="P252" s="5"/>
      <c r="Q252" s="4"/>
      <c r="R252" s="4"/>
      <c r="T252" s="4"/>
      <c r="U252" s="12"/>
      <c r="V252" s="4"/>
      <c r="W252" s="4"/>
      <c r="X252" s="5"/>
      <c r="Y252" s="4"/>
      <c r="Z252" s="5"/>
      <c r="AA252" s="4"/>
      <c r="AB252" s="4"/>
      <c r="AC252" s="19"/>
      <c r="AD252" s="19"/>
    </row>
    <row r="253" spans="1:30">
      <c r="A253" s="21"/>
      <c r="B253" s="12">
        <v>45943</v>
      </c>
      <c r="C253" s="1" t="s">
        <v>289</v>
      </c>
      <c r="D253" s="13" t="s">
        <v>16</v>
      </c>
      <c r="E253" s="1" t="s">
        <v>26</v>
      </c>
      <c r="F253" s="13" t="str">
        <f>VLOOKUP(E253,'Master Kode'!$B$3:$D$13,2,0)</f>
        <v>HDPE Blue Drum Flakes</v>
      </c>
      <c r="G253" s="1">
        <v>2980</v>
      </c>
      <c r="H253" s="1" t="s">
        <v>9</v>
      </c>
      <c r="I253" s="12">
        <v>45951</v>
      </c>
      <c r="K253" s="4"/>
      <c r="L253" s="3"/>
      <c r="M253" s="4"/>
      <c r="N253" s="5"/>
      <c r="O253" s="4"/>
      <c r="P253" s="5"/>
      <c r="Q253" s="4"/>
      <c r="R253" s="4"/>
      <c r="T253" s="4"/>
      <c r="U253" s="12"/>
      <c r="V253" s="4"/>
      <c r="W253" s="4"/>
      <c r="X253" s="5"/>
      <c r="Y253" s="4"/>
      <c r="Z253" s="5"/>
      <c r="AA253" s="4"/>
      <c r="AB253" s="4"/>
      <c r="AC253" s="19"/>
      <c r="AD253" s="19"/>
    </row>
    <row r="254" spans="1:30">
      <c r="A254" s="21"/>
      <c r="B254" s="12">
        <v>45944</v>
      </c>
      <c r="C254" s="1" t="s">
        <v>290</v>
      </c>
      <c r="D254" s="13" t="s">
        <v>19</v>
      </c>
      <c r="E254" s="1" t="s">
        <v>28</v>
      </c>
      <c r="F254" s="13" t="str">
        <f>VLOOKUP(E254,'Master Kode'!$B$3:$D$13,2,0)</f>
        <v>PET Mixed Color Flakes</v>
      </c>
      <c r="G254" s="1">
        <v>1880</v>
      </c>
      <c r="H254" s="1" t="s">
        <v>9</v>
      </c>
      <c r="I254" s="12">
        <v>45952</v>
      </c>
      <c r="K254" s="4"/>
      <c r="L254" s="3"/>
      <c r="M254" s="4"/>
      <c r="N254" s="5"/>
      <c r="O254" s="4"/>
      <c r="P254" s="5"/>
      <c r="Q254" s="4"/>
      <c r="R254" s="4"/>
      <c r="T254" s="4"/>
      <c r="U254" s="12"/>
      <c r="V254" s="4"/>
      <c r="W254" s="4"/>
      <c r="X254" s="5"/>
      <c r="Y254" s="4"/>
      <c r="Z254" s="5"/>
      <c r="AA254" s="4"/>
      <c r="AB254" s="4"/>
      <c r="AC254" s="19"/>
      <c r="AD254" s="19"/>
    </row>
    <row r="255" spans="1:30">
      <c r="A255" s="21"/>
      <c r="B255" s="12">
        <v>45945</v>
      </c>
      <c r="C255" s="1" t="s">
        <v>291</v>
      </c>
      <c r="D255" s="13" t="s">
        <v>22</v>
      </c>
      <c r="E255" s="1" t="s">
        <v>30</v>
      </c>
      <c r="F255" s="13" t="str">
        <f>VLOOKUP(E255,'Master Kode'!$B$3:$D$13,2,0)</f>
        <v>PP White Flakes</v>
      </c>
      <c r="G255" s="1">
        <v>3200</v>
      </c>
      <c r="H255" s="1" t="s">
        <v>9</v>
      </c>
      <c r="I255" s="12">
        <v>45953</v>
      </c>
      <c r="K255" s="4"/>
      <c r="L255" s="3"/>
      <c r="M255" s="4"/>
      <c r="N255" s="5"/>
      <c r="O255" s="4"/>
      <c r="P255" s="5"/>
      <c r="Q255" s="4"/>
      <c r="R255" s="4"/>
      <c r="T255" s="4"/>
      <c r="U255" s="12"/>
      <c r="V255" s="4"/>
      <c r="W255" s="4"/>
      <c r="X255" s="5"/>
      <c r="Y255" s="4"/>
      <c r="Z255" s="5"/>
      <c r="AA255" s="4"/>
      <c r="AB255" s="4"/>
      <c r="AC255" s="19"/>
      <c r="AD255" s="19"/>
    </row>
    <row r="256" spans="1:30">
      <c r="A256" s="21"/>
      <c r="B256" s="12">
        <v>45946</v>
      </c>
      <c r="C256" s="1" t="s">
        <v>292</v>
      </c>
      <c r="D256" s="13" t="s">
        <v>25</v>
      </c>
      <c r="E256" s="1" t="s">
        <v>32</v>
      </c>
      <c r="F256" s="13" t="str">
        <f>VLOOKUP(E256,'Master Kode'!$B$3:$D$13,2,0)</f>
        <v>HDPE Bottle Cap Flakes</v>
      </c>
      <c r="G256" s="1">
        <v>2450</v>
      </c>
      <c r="H256" s="1" t="s">
        <v>9</v>
      </c>
      <c r="I256" s="12">
        <v>45954</v>
      </c>
      <c r="K256" s="4"/>
      <c r="L256" s="3"/>
      <c r="M256" s="4"/>
      <c r="N256" s="5"/>
      <c r="O256" s="4"/>
      <c r="P256" s="5"/>
      <c r="Q256" s="4"/>
      <c r="R256" s="4"/>
      <c r="T256" s="4"/>
      <c r="U256" s="12"/>
      <c r="V256" s="4"/>
      <c r="W256" s="4"/>
      <c r="X256" s="5"/>
      <c r="Y256" s="4"/>
      <c r="Z256" s="5"/>
      <c r="AA256" s="4"/>
      <c r="AB256" s="4"/>
      <c r="AC256" s="19"/>
      <c r="AD256" s="19"/>
    </row>
    <row r="257" spans="1:30">
      <c r="A257" s="21"/>
      <c r="B257" s="12">
        <v>45947</v>
      </c>
      <c r="C257" s="1" t="s">
        <v>293</v>
      </c>
      <c r="D257" s="13" t="s">
        <v>6</v>
      </c>
      <c r="E257" s="1" t="s">
        <v>34</v>
      </c>
      <c r="F257" s="13" t="str">
        <f>VLOOKUP(E257,'Master Kode'!$B$3:$D$13,2,0)</f>
        <v>PET Hot Washed Flakes</v>
      </c>
      <c r="G257" s="1">
        <v>3560</v>
      </c>
      <c r="H257" s="1" t="s">
        <v>9</v>
      </c>
      <c r="I257" s="12">
        <v>45955</v>
      </c>
      <c r="K257" s="4"/>
      <c r="L257" s="3"/>
      <c r="M257" s="4"/>
      <c r="N257" s="5"/>
      <c r="O257" s="4"/>
      <c r="P257" s="5"/>
      <c r="Q257" s="4"/>
      <c r="R257" s="4"/>
      <c r="T257" s="4"/>
      <c r="U257" s="12"/>
      <c r="V257" s="4"/>
      <c r="W257" s="4"/>
      <c r="X257" s="5"/>
      <c r="Y257" s="4"/>
      <c r="Z257" s="5"/>
      <c r="AA257" s="4"/>
      <c r="AB257" s="4"/>
      <c r="AC257" s="19"/>
      <c r="AD257" s="19"/>
    </row>
    <row r="258" spans="1:30">
      <c r="A258" s="21"/>
      <c r="B258" s="12">
        <v>45948</v>
      </c>
      <c r="C258" s="1" t="s">
        <v>294</v>
      </c>
      <c r="D258" s="13" t="s">
        <v>10</v>
      </c>
      <c r="E258" s="1" t="s">
        <v>7</v>
      </c>
      <c r="F258" s="13" t="str">
        <f>VLOOKUP(E258,'Master Kode'!$B$3:$D$13,2,0)</f>
        <v>PET Clear Flakes</v>
      </c>
      <c r="G258" s="1">
        <v>2070</v>
      </c>
      <c r="H258" s="1" t="s">
        <v>9</v>
      </c>
      <c r="I258" s="12">
        <v>45956</v>
      </c>
      <c r="K258" s="4"/>
      <c r="L258" s="3"/>
      <c r="M258" s="4"/>
      <c r="N258" s="5"/>
      <c r="O258" s="4"/>
      <c r="P258" s="5"/>
      <c r="Q258" s="4"/>
      <c r="R258" s="4"/>
      <c r="T258" s="4"/>
      <c r="U258" s="12"/>
      <c r="V258" s="4"/>
      <c r="W258" s="4"/>
      <c r="X258" s="5"/>
      <c r="Y258" s="4"/>
      <c r="Z258" s="5"/>
      <c r="AA258" s="4"/>
      <c r="AB258" s="4"/>
      <c r="AC258" s="19"/>
      <c r="AD258" s="19"/>
    </row>
    <row r="259" spans="1:30">
      <c r="A259" s="21"/>
      <c r="B259" s="12">
        <v>45949</v>
      </c>
      <c r="C259" s="1" t="s">
        <v>295</v>
      </c>
      <c r="D259" s="13" t="s">
        <v>13</v>
      </c>
      <c r="E259" s="1" t="s">
        <v>11</v>
      </c>
      <c r="F259" s="13" t="str">
        <f>VLOOKUP(E259,'Master Kode'!$B$3:$D$13,2,0)</f>
        <v>PET Blue Flakes</v>
      </c>
      <c r="G259" s="1">
        <v>2940</v>
      </c>
      <c r="H259" s="1" t="s">
        <v>9</v>
      </c>
      <c r="I259" s="12">
        <v>45957</v>
      </c>
      <c r="K259" s="4"/>
      <c r="L259" s="3"/>
      <c r="M259" s="4"/>
      <c r="N259" s="5"/>
      <c r="O259" s="4"/>
      <c r="P259" s="5"/>
      <c r="Q259" s="4"/>
      <c r="R259" s="4"/>
      <c r="T259" s="4"/>
      <c r="U259" s="12"/>
      <c r="V259" s="4"/>
      <c r="W259" s="4"/>
      <c r="X259" s="5"/>
      <c r="Y259" s="4"/>
      <c r="Z259" s="5"/>
      <c r="AA259" s="4"/>
      <c r="AB259" s="4"/>
      <c r="AC259" s="19"/>
      <c r="AD259" s="19"/>
    </row>
    <row r="260" spans="1:30">
      <c r="A260" s="21"/>
      <c r="B260" s="12">
        <v>45950</v>
      </c>
      <c r="C260" s="1" t="s">
        <v>296</v>
      </c>
      <c r="D260" s="13" t="s">
        <v>16</v>
      </c>
      <c r="E260" s="1" t="s">
        <v>14</v>
      </c>
      <c r="F260" s="13" t="str">
        <f>VLOOKUP(E260,'Master Kode'!$B$3:$D$13,2,0)</f>
        <v>HDPE Natural Flakes</v>
      </c>
      <c r="G260" s="1">
        <v>3100</v>
      </c>
      <c r="H260" s="1" t="s">
        <v>9</v>
      </c>
      <c r="I260" s="12">
        <v>45958</v>
      </c>
      <c r="K260" s="4"/>
      <c r="L260" s="3"/>
      <c r="M260" s="4"/>
      <c r="N260" s="5"/>
      <c r="O260" s="4"/>
      <c r="P260" s="5"/>
      <c r="Q260" s="4"/>
      <c r="R260" s="4"/>
      <c r="T260" s="4"/>
      <c r="U260" s="12"/>
      <c r="V260" s="4"/>
      <c r="W260" s="4"/>
      <c r="X260" s="5"/>
      <c r="Y260" s="4"/>
      <c r="Z260" s="5"/>
      <c r="AA260" s="4"/>
      <c r="AB260" s="4"/>
      <c r="AC260" s="19"/>
      <c r="AD260" s="19"/>
    </row>
    <row r="261" spans="1:30">
      <c r="A261" s="21"/>
      <c r="B261" s="12">
        <v>45957</v>
      </c>
      <c r="C261" s="1" t="s">
        <v>297</v>
      </c>
      <c r="D261" s="13" t="s">
        <v>6</v>
      </c>
      <c r="E261" s="1" t="s">
        <v>7</v>
      </c>
      <c r="F261" s="13" t="str">
        <f>VLOOKUP(E261,'Master Kode'!$B$3:$D$13,2,0)</f>
        <v>PET Clear Flakes</v>
      </c>
      <c r="G261" s="1">
        <v>2150</v>
      </c>
      <c r="H261" s="1" t="s">
        <v>9</v>
      </c>
      <c r="I261" s="12">
        <v>45964</v>
      </c>
      <c r="K261" s="4"/>
      <c r="L261" s="3"/>
      <c r="M261" s="4"/>
      <c r="N261" s="5"/>
      <c r="O261" s="4"/>
      <c r="P261" s="5"/>
      <c r="Q261" s="4"/>
      <c r="R261" s="4"/>
      <c r="T261" s="4"/>
      <c r="U261" s="12"/>
      <c r="V261" s="4"/>
      <c r="W261" s="4"/>
      <c r="X261" s="5"/>
      <c r="Y261" s="4"/>
      <c r="Z261" s="5"/>
      <c r="AA261" s="4"/>
      <c r="AB261" s="4"/>
      <c r="AC261" s="19"/>
      <c r="AD261" s="19"/>
    </row>
    <row r="262" spans="1:30">
      <c r="A262" s="21"/>
      <c r="B262" s="12">
        <v>45957</v>
      </c>
      <c r="C262" s="1" t="s">
        <v>298</v>
      </c>
      <c r="D262" s="13" t="s">
        <v>10</v>
      </c>
      <c r="E262" s="1" t="s">
        <v>14</v>
      </c>
      <c r="F262" s="13" t="str">
        <f>VLOOKUP(E262,'Master Kode'!$B$3:$D$13,2,0)</f>
        <v>HDPE Natural Flakes</v>
      </c>
      <c r="G262" s="1">
        <v>1850</v>
      </c>
      <c r="H262" s="1" t="s">
        <v>9</v>
      </c>
      <c r="I262" s="12">
        <v>45965</v>
      </c>
      <c r="K262" s="4"/>
      <c r="L262" s="3"/>
      <c r="M262" s="4"/>
      <c r="N262" s="5"/>
      <c r="O262" s="4"/>
      <c r="P262" s="5"/>
      <c r="Q262" s="4"/>
      <c r="R262" s="4"/>
      <c r="T262" s="4"/>
      <c r="U262" s="12"/>
      <c r="V262" s="4"/>
      <c r="W262" s="4"/>
      <c r="X262" s="5"/>
      <c r="Y262" s="4"/>
      <c r="Z262" s="5"/>
      <c r="AA262" s="4"/>
      <c r="AB262" s="4"/>
      <c r="AC262" s="19"/>
      <c r="AD262" s="19"/>
    </row>
    <row r="263" spans="1:30">
      <c r="A263" s="21"/>
      <c r="B263" s="12">
        <v>45957</v>
      </c>
      <c r="C263" s="1" t="s">
        <v>299</v>
      </c>
      <c r="D263" s="13" t="s">
        <v>16</v>
      </c>
      <c r="E263" s="1" t="s">
        <v>23</v>
      </c>
      <c r="F263" s="13" t="str">
        <f>VLOOKUP(E263,'Master Kode'!$B$3:$D$13,2,0)</f>
        <v>PET Green Flakes</v>
      </c>
      <c r="G263" s="1">
        <v>3020</v>
      </c>
      <c r="H263" s="1" t="s">
        <v>9</v>
      </c>
      <c r="I263" s="12">
        <v>45965</v>
      </c>
      <c r="K263" s="4"/>
      <c r="L263" s="3"/>
      <c r="M263" s="4"/>
      <c r="N263" s="5"/>
      <c r="O263" s="4"/>
      <c r="P263" s="5"/>
      <c r="Q263" s="4"/>
      <c r="R263" s="4"/>
      <c r="T263" s="4"/>
      <c r="U263" s="12"/>
      <c r="V263" s="4"/>
      <c r="W263" s="4"/>
      <c r="X263" s="5"/>
      <c r="Y263" s="4"/>
      <c r="Z263" s="5"/>
      <c r="AA263" s="4"/>
      <c r="AB263" s="4"/>
      <c r="AC263" s="19"/>
      <c r="AD263" s="19"/>
    </row>
    <row r="264" spans="1:30">
      <c r="A264" s="21"/>
      <c r="B264" s="12">
        <v>45958</v>
      </c>
      <c r="C264" s="1" t="s">
        <v>300</v>
      </c>
      <c r="D264" s="13" t="s">
        <v>19</v>
      </c>
      <c r="E264" s="1" t="s">
        <v>17</v>
      </c>
      <c r="F264" s="13" t="str">
        <f>VLOOKUP(E264,'Master Kode'!$B$3:$D$13,2,0)</f>
        <v>HDPE Mixed Color Flakes</v>
      </c>
      <c r="G264" s="1">
        <v>1750</v>
      </c>
      <c r="H264" s="1" t="s">
        <v>9</v>
      </c>
      <c r="I264" s="12">
        <v>45966</v>
      </c>
      <c r="K264" s="4"/>
      <c r="L264" s="3"/>
      <c r="M264" s="4"/>
      <c r="N264" s="5"/>
      <c r="O264" s="4"/>
      <c r="P264" s="5"/>
      <c r="Q264" s="4"/>
      <c r="R264" s="4"/>
      <c r="T264" s="4"/>
      <c r="U264" s="12"/>
      <c r="V264" s="4"/>
      <c r="W264" s="4"/>
      <c r="X264" s="5"/>
      <c r="Y264" s="4"/>
      <c r="Z264" s="5"/>
      <c r="AA264" s="4"/>
      <c r="AB264" s="4"/>
      <c r="AC264" s="19"/>
      <c r="AD264" s="19"/>
    </row>
    <row r="265" spans="1:30">
      <c r="A265" s="21"/>
      <c r="B265" s="12">
        <v>45958</v>
      </c>
      <c r="C265" s="1" t="s">
        <v>301</v>
      </c>
      <c r="D265" s="13" t="s">
        <v>22</v>
      </c>
      <c r="E265" s="1" t="s">
        <v>11</v>
      </c>
      <c r="F265" s="13" t="str">
        <f>VLOOKUP(E265,'Master Kode'!$B$3:$D$13,2,0)</f>
        <v>PET Blue Flakes</v>
      </c>
      <c r="G265" s="1">
        <v>2640</v>
      </c>
      <c r="H265" s="1" t="s">
        <v>9</v>
      </c>
      <c r="I265" s="12">
        <v>45966</v>
      </c>
      <c r="K265" s="4"/>
      <c r="L265" s="3"/>
      <c r="M265" s="4"/>
      <c r="N265" s="5"/>
      <c r="O265" s="4"/>
      <c r="P265" s="5"/>
      <c r="Q265" s="4"/>
      <c r="R265" s="4"/>
      <c r="T265" s="4"/>
      <c r="U265" s="12"/>
      <c r="V265" s="4"/>
      <c r="W265" s="4"/>
      <c r="X265" s="5"/>
      <c r="Y265" s="4"/>
      <c r="Z265" s="5"/>
      <c r="AA265" s="4"/>
      <c r="AB265" s="4"/>
      <c r="AC265" s="19"/>
      <c r="AD265" s="19"/>
    </row>
    <row r="266" spans="1:30">
      <c r="A266" s="21"/>
      <c r="B266" s="12">
        <v>45959</v>
      </c>
      <c r="C266" s="1" t="s">
        <v>302</v>
      </c>
      <c r="D266" s="13" t="s">
        <v>13</v>
      </c>
      <c r="E266" s="1" t="s">
        <v>20</v>
      </c>
      <c r="F266" s="13" t="str">
        <f>VLOOKUP(E266,'Master Kode'!$B$3:$D$13,2,0)</f>
        <v>PP Injection Flakes</v>
      </c>
      <c r="G266" s="1">
        <v>3200</v>
      </c>
      <c r="H266" s="1" t="s">
        <v>9</v>
      </c>
      <c r="I266" s="12">
        <v>45967</v>
      </c>
      <c r="K266" s="4"/>
      <c r="L266" s="3"/>
      <c r="M266" s="4"/>
      <c r="N266" s="5"/>
      <c r="O266" s="4"/>
      <c r="P266" s="5"/>
      <c r="Q266" s="4"/>
      <c r="R266" s="4"/>
      <c r="T266" s="4"/>
      <c r="U266" s="12"/>
      <c r="V266" s="4"/>
      <c r="W266" s="4"/>
      <c r="X266" s="5"/>
      <c r="Y266" s="4"/>
      <c r="Z266" s="5"/>
      <c r="AA266" s="4"/>
      <c r="AB266" s="4"/>
      <c r="AC266" s="19"/>
      <c r="AD266" s="19"/>
    </row>
    <row r="267" spans="1:30">
      <c r="A267" s="21"/>
      <c r="B267" s="12">
        <v>45959</v>
      </c>
      <c r="C267" s="1" t="s">
        <v>303</v>
      </c>
      <c r="D267" s="13" t="s">
        <v>25</v>
      </c>
      <c r="E267" s="1" t="s">
        <v>26</v>
      </c>
      <c r="F267" s="13" t="str">
        <f>VLOOKUP(E267,'Master Kode'!$B$3:$D$13,2,0)</f>
        <v>HDPE Blue Drum Flakes</v>
      </c>
      <c r="G267" s="1">
        <v>1450</v>
      </c>
      <c r="H267" s="1" t="s">
        <v>9</v>
      </c>
      <c r="I267" s="12">
        <v>45967</v>
      </c>
      <c r="K267" s="4"/>
      <c r="L267" s="3"/>
      <c r="M267" s="4"/>
      <c r="N267" s="5"/>
      <c r="O267" s="4"/>
      <c r="P267" s="5"/>
      <c r="Q267" s="4"/>
      <c r="R267" s="4"/>
      <c r="T267" s="4"/>
      <c r="U267" s="12"/>
      <c r="V267" s="4"/>
      <c r="W267" s="4"/>
      <c r="X267" s="5"/>
      <c r="Y267" s="4"/>
      <c r="Z267" s="5"/>
      <c r="AA267" s="4"/>
      <c r="AB267" s="4"/>
      <c r="AC267" s="19"/>
      <c r="AD267" s="19"/>
    </row>
    <row r="268" spans="1:30">
      <c r="A268" s="21"/>
      <c r="B268" s="12">
        <v>45960</v>
      </c>
      <c r="C268" s="1" t="s">
        <v>304</v>
      </c>
      <c r="D268" s="13" t="s">
        <v>10</v>
      </c>
      <c r="E268" s="1" t="s">
        <v>28</v>
      </c>
      <c r="F268" s="13" t="str">
        <f>VLOOKUP(E268,'Master Kode'!$B$3:$D$13,2,0)</f>
        <v>PET Mixed Color Flakes</v>
      </c>
      <c r="G268" s="1">
        <v>2860</v>
      </c>
      <c r="H268" s="1" t="s">
        <v>9</v>
      </c>
      <c r="I268" s="12">
        <v>45968</v>
      </c>
      <c r="K268" s="4"/>
      <c r="L268" s="3"/>
      <c r="M268" s="4"/>
      <c r="N268" s="5"/>
      <c r="O268" s="4"/>
      <c r="P268" s="5"/>
      <c r="Q268" s="4"/>
      <c r="R268" s="4"/>
      <c r="T268" s="4"/>
      <c r="U268" s="12"/>
      <c r="V268" s="4"/>
      <c r="W268" s="4"/>
      <c r="X268" s="5"/>
      <c r="Y268" s="4"/>
      <c r="Z268" s="5"/>
      <c r="AA268" s="4"/>
      <c r="AB268" s="4"/>
      <c r="AC268" s="19"/>
      <c r="AD268" s="19"/>
    </row>
    <row r="269" spans="1:30">
      <c r="A269" s="21"/>
      <c r="B269" s="12">
        <v>45960</v>
      </c>
      <c r="C269" s="1" t="s">
        <v>305</v>
      </c>
      <c r="D269" s="13" t="s">
        <v>6</v>
      </c>
      <c r="E269" s="1" t="s">
        <v>7</v>
      </c>
      <c r="F269" s="13" t="str">
        <f>VLOOKUP(E269,'Master Kode'!$B$3:$D$13,2,0)</f>
        <v>PET Clear Flakes</v>
      </c>
      <c r="G269" s="1">
        <v>1950</v>
      </c>
      <c r="H269" s="1" t="s">
        <v>9</v>
      </c>
      <c r="I269" s="12">
        <v>45968</v>
      </c>
      <c r="K269" s="4"/>
      <c r="L269" s="3"/>
      <c r="M269" s="4"/>
      <c r="N269" s="5"/>
      <c r="O269" s="4"/>
      <c r="P269" s="5"/>
      <c r="Q269" s="4"/>
      <c r="R269" s="4"/>
      <c r="T269" s="4"/>
      <c r="U269" s="12"/>
      <c r="V269" s="4"/>
      <c r="W269" s="4"/>
      <c r="X269" s="5"/>
      <c r="Y269" s="4"/>
      <c r="Z269" s="5"/>
      <c r="AA269" s="4"/>
      <c r="AB269" s="4"/>
      <c r="AC269" s="19"/>
      <c r="AD269" s="19"/>
    </row>
    <row r="270" spans="1:30">
      <c r="A270" s="21"/>
      <c r="B270" s="12">
        <v>45961</v>
      </c>
      <c r="C270" s="1" t="s">
        <v>306</v>
      </c>
      <c r="D270" s="13" t="s">
        <v>19</v>
      </c>
      <c r="E270" s="1" t="s">
        <v>30</v>
      </c>
      <c r="F270" s="13" t="str">
        <f>VLOOKUP(E270,'Master Kode'!$B$3:$D$13,2,0)</f>
        <v>PP White Flakes</v>
      </c>
      <c r="G270" s="1">
        <v>2410</v>
      </c>
      <c r="H270" s="1" t="s">
        <v>9</v>
      </c>
      <c r="I270" s="12">
        <v>45969</v>
      </c>
      <c r="K270" s="4"/>
      <c r="L270" s="3"/>
      <c r="M270" s="4"/>
      <c r="N270" s="5"/>
      <c r="O270" s="4"/>
      <c r="P270" s="5"/>
      <c r="Q270" s="4"/>
      <c r="R270" s="4"/>
      <c r="T270" s="4"/>
      <c r="U270" s="12"/>
      <c r="V270" s="4"/>
      <c r="W270" s="4"/>
      <c r="X270" s="5"/>
      <c r="Y270" s="4"/>
      <c r="Z270" s="5"/>
      <c r="AA270" s="4"/>
      <c r="AB270" s="4"/>
      <c r="AC270" s="19"/>
      <c r="AD270" s="19"/>
    </row>
    <row r="271" spans="1:30">
      <c r="A271" s="21"/>
      <c r="B271" s="12">
        <v>45962</v>
      </c>
      <c r="C271" s="1" t="s">
        <v>307</v>
      </c>
      <c r="D271" s="13" t="s">
        <v>22</v>
      </c>
      <c r="E271" s="1" t="s">
        <v>34</v>
      </c>
      <c r="F271" s="13" t="str">
        <f>VLOOKUP(E271,'Master Kode'!$B$3:$D$13,2,0)</f>
        <v>PET Hot Washed Flakes</v>
      </c>
      <c r="G271" s="1">
        <v>3560</v>
      </c>
      <c r="H271" s="1" t="s">
        <v>9</v>
      </c>
      <c r="I271" s="12">
        <v>45970</v>
      </c>
      <c r="K271" s="4"/>
      <c r="L271" s="3"/>
      <c r="M271" s="4"/>
      <c r="N271" s="5"/>
      <c r="O271" s="4"/>
      <c r="P271" s="5"/>
      <c r="Q271" s="4"/>
      <c r="R271" s="4"/>
      <c r="T271" s="4"/>
      <c r="U271" s="12"/>
      <c r="V271" s="4"/>
      <c r="W271" s="4"/>
      <c r="X271" s="5"/>
      <c r="Y271" s="4"/>
      <c r="Z271" s="5"/>
      <c r="AA271" s="4"/>
      <c r="AB271" s="4"/>
      <c r="AC271" s="19"/>
      <c r="AD271" s="19"/>
    </row>
    <row r="272" spans="1:30">
      <c r="A272" s="21"/>
      <c r="B272" s="12">
        <v>45963</v>
      </c>
      <c r="C272" s="1" t="s">
        <v>308</v>
      </c>
      <c r="D272" s="13" t="s">
        <v>16</v>
      </c>
      <c r="E272" s="1" t="s">
        <v>17</v>
      </c>
      <c r="F272" s="13" t="str">
        <f>VLOOKUP(E272,'Master Kode'!$B$3:$D$13,2,0)</f>
        <v>HDPE Mixed Color Flakes</v>
      </c>
      <c r="G272" s="1">
        <v>2980</v>
      </c>
      <c r="H272" s="1" t="s">
        <v>9</v>
      </c>
      <c r="I272" s="12">
        <v>45971</v>
      </c>
      <c r="K272" s="4"/>
      <c r="L272" s="3"/>
      <c r="M272" s="4"/>
      <c r="N272" s="5"/>
      <c r="O272" s="4"/>
      <c r="P272" s="5"/>
      <c r="Q272" s="4"/>
      <c r="R272" s="4"/>
      <c r="T272" s="4"/>
      <c r="U272" s="12"/>
      <c r="V272" s="4"/>
      <c r="W272" s="4"/>
      <c r="X272" s="5"/>
      <c r="Y272" s="4"/>
      <c r="Z272" s="5"/>
      <c r="AA272" s="4"/>
      <c r="AB272" s="4"/>
      <c r="AC272" s="19"/>
      <c r="AD272" s="19"/>
    </row>
    <row r="273" spans="1:30">
      <c r="A273" s="21"/>
      <c r="B273" s="12">
        <v>45964</v>
      </c>
      <c r="C273" s="1" t="s">
        <v>309</v>
      </c>
      <c r="D273" s="13" t="s">
        <v>13</v>
      </c>
      <c r="E273" s="1" t="s">
        <v>14</v>
      </c>
      <c r="F273" s="13" t="str">
        <f>VLOOKUP(E273,'Master Kode'!$B$3:$D$13,2,0)</f>
        <v>HDPE Natural Flakes</v>
      </c>
      <c r="G273" s="1">
        <v>2100</v>
      </c>
      <c r="H273" s="1" t="s">
        <v>9</v>
      </c>
      <c r="I273" s="12">
        <v>45972</v>
      </c>
      <c r="K273" s="4"/>
      <c r="L273" s="3"/>
      <c r="M273" s="4"/>
      <c r="N273" s="5"/>
      <c r="O273" s="4"/>
      <c r="P273" s="5"/>
      <c r="Q273" s="4"/>
      <c r="R273" s="4"/>
      <c r="T273" s="4"/>
      <c r="U273" s="12"/>
      <c r="V273" s="4"/>
      <c r="W273" s="4"/>
      <c r="X273" s="5"/>
      <c r="Y273" s="4"/>
      <c r="Z273" s="5"/>
      <c r="AA273" s="4"/>
      <c r="AB273" s="4"/>
      <c r="AC273" s="19"/>
      <c r="AD273" s="19"/>
    </row>
    <row r="274" spans="1:30">
      <c r="A274" s="21"/>
      <c r="B274" s="12">
        <v>45965</v>
      </c>
      <c r="C274" s="1" t="s">
        <v>310</v>
      </c>
      <c r="D274" s="13" t="s">
        <v>10</v>
      </c>
      <c r="E274" s="1" t="s">
        <v>11</v>
      </c>
      <c r="F274" s="13" t="str">
        <f>VLOOKUP(E274,'Master Kode'!$B$3:$D$13,2,0)</f>
        <v>PET Blue Flakes</v>
      </c>
      <c r="G274" s="1">
        <v>3300</v>
      </c>
      <c r="H274" s="1" t="s">
        <v>9</v>
      </c>
      <c r="I274" s="12">
        <v>45973</v>
      </c>
      <c r="K274" s="4"/>
      <c r="L274" s="3"/>
      <c r="M274" s="4"/>
      <c r="N274" s="5"/>
      <c r="O274" s="4"/>
      <c r="P274" s="5"/>
      <c r="Q274" s="4"/>
      <c r="R274" s="4"/>
      <c r="T274" s="4"/>
      <c r="U274" s="12"/>
      <c r="V274" s="4"/>
      <c r="W274" s="4"/>
      <c r="X274" s="5"/>
      <c r="Y274" s="4"/>
      <c r="Z274" s="5"/>
      <c r="AA274" s="4"/>
      <c r="AB274" s="4"/>
      <c r="AC274" s="19"/>
      <c r="AD274" s="19"/>
    </row>
    <row r="275" spans="1:30">
      <c r="A275" s="21"/>
      <c r="B275" s="12">
        <v>45966</v>
      </c>
      <c r="C275" s="1" t="s">
        <v>311</v>
      </c>
      <c r="D275" s="13" t="s">
        <v>19</v>
      </c>
      <c r="E275" s="1" t="s">
        <v>23</v>
      </c>
      <c r="F275" s="13" t="str">
        <f>VLOOKUP(E275,'Master Kode'!$B$3:$D$13,2,0)</f>
        <v>PET Green Flakes</v>
      </c>
      <c r="G275" s="1">
        <v>1840</v>
      </c>
      <c r="H275" s="1" t="s">
        <v>9</v>
      </c>
      <c r="I275" s="12">
        <v>45974</v>
      </c>
      <c r="K275" s="4"/>
      <c r="L275" s="3"/>
      <c r="M275" s="4"/>
      <c r="N275" s="5"/>
      <c r="O275" s="4"/>
      <c r="P275" s="5"/>
      <c r="Q275" s="4"/>
      <c r="R275" s="4"/>
      <c r="T275" s="4"/>
      <c r="U275" s="12"/>
      <c r="V275" s="4"/>
      <c r="W275" s="4"/>
      <c r="X275" s="5"/>
      <c r="Y275" s="4"/>
      <c r="Z275" s="5"/>
      <c r="AA275" s="4"/>
      <c r="AB275" s="4"/>
      <c r="AC275" s="19"/>
      <c r="AD275" s="19"/>
    </row>
    <row r="276" spans="1:30">
      <c r="A276" s="21"/>
      <c r="B276" s="12">
        <v>45967</v>
      </c>
      <c r="C276" s="1" t="s">
        <v>312</v>
      </c>
      <c r="D276" s="13" t="s">
        <v>25</v>
      </c>
      <c r="E276" s="1" t="s">
        <v>26</v>
      </c>
      <c r="F276" s="13" t="str">
        <f>VLOOKUP(E276,'Master Kode'!$B$3:$D$13,2,0)</f>
        <v>HDPE Blue Drum Flakes</v>
      </c>
      <c r="G276" s="1">
        <v>1560</v>
      </c>
      <c r="H276" s="1" t="s">
        <v>9</v>
      </c>
      <c r="I276" s="12">
        <v>45975</v>
      </c>
      <c r="K276" s="4"/>
      <c r="L276" s="3"/>
      <c r="M276" s="4"/>
      <c r="N276" s="5"/>
      <c r="O276" s="4"/>
      <c r="P276" s="5"/>
      <c r="Q276" s="4"/>
      <c r="R276" s="4"/>
      <c r="T276" s="4"/>
      <c r="U276" s="12"/>
      <c r="V276" s="4"/>
      <c r="W276" s="4"/>
      <c r="X276" s="5"/>
      <c r="Y276" s="4"/>
      <c r="Z276" s="5"/>
      <c r="AA276" s="4"/>
      <c r="AB276" s="4"/>
      <c r="AC276" s="19"/>
      <c r="AD276" s="19"/>
    </row>
    <row r="277" spans="1:30">
      <c r="A277" s="21"/>
      <c r="B277" s="12">
        <v>45968</v>
      </c>
      <c r="C277" s="1" t="s">
        <v>313</v>
      </c>
      <c r="D277" s="13" t="s">
        <v>22</v>
      </c>
      <c r="E277" s="1" t="s">
        <v>20</v>
      </c>
      <c r="F277" s="13" t="str">
        <f>VLOOKUP(E277,'Master Kode'!$B$3:$D$13,2,0)</f>
        <v>PP Injection Flakes</v>
      </c>
      <c r="G277" s="1">
        <v>2890</v>
      </c>
      <c r="H277" s="1" t="s">
        <v>9</v>
      </c>
      <c r="I277" s="12">
        <v>45976</v>
      </c>
      <c r="K277" s="4"/>
      <c r="L277" s="3"/>
      <c r="M277" s="4"/>
      <c r="N277" s="5"/>
      <c r="O277" s="4"/>
      <c r="P277" s="5"/>
      <c r="Q277" s="4"/>
      <c r="R277" s="4"/>
      <c r="T277" s="4"/>
      <c r="U277" s="12"/>
      <c r="V277" s="4"/>
      <c r="W277" s="4"/>
      <c r="X277" s="5"/>
      <c r="Y277" s="4"/>
      <c r="Z277" s="5"/>
      <c r="AA277" s="4"/>
      <c r="AB277" s="4"/>
      <c r="AC277" s="19"/>
      <c r="AD277" s="19"/>
    </row>
    <row r="278" spans="1:30">
      <c r="A278" s="21"/>
      <c r="B278" s="12">
        <v>45969</v>
      </c>
      <c r="C278" s="1" t="s">
        <v>314</v>
      </c>
      <c r="D278" s="13" t="s">
        <v>16</v>
      </c>
      <c r="E278" s="1" t="s">
        <v>34</v>
      </c>
      <c r="F278" s="13" t="str">
        <f>VLOOKUP(E278,'Master Kode'!$B$3:$D$13,2,0)</f>
        <v>PET Hot Washed Flakes</v>
      </c>
      <c r="G278" s="1">
        <v>3620</v>
      </c>
      <c r="H278" s="1" t="s">
        <v>9</v>
      </c>
      <c r="I278" s="12">
        <v>45977</v>
      </c>
      <c r="K278" s="4"/>
      <c r="L278" s="3"/>
      <c r="M278" s="4"/>
      <c r="N278" s="5"/>
      <c r="O278" s="4"/>
      <c r="P278" s="5"/>
      <c r="Q278" s="4"/>
      <c r="R278" s="4"/>
      <c r="T278" s="4"/>
      <c r="U278" s="12"/>
      <c r="V278" s="4"/>
      <c r="W278" s="4"/>
      <c r="X278" s="5"/>
      <c r="Y278" s="4"/>
      <c r="Z278" s="5"/>
      <c r="AA278" s="4"/>
      <c r="AB278" s="4"/>
      <c r="AC278" s="19"/>
      <c r="AD278" s="19"/>
    </row>
    <row r="279" spans="1:30">
      <c r="A279" s="21"/>
      <c r="B279" s="12">
        <v>45970</v>
      </c>
      <c r="C279" s="1" t="s">
        <v>315</v>
      </c>
      <c r="D279" s="13" t="s">
        <v>6</v>
      </c>
      <c r="E279" s="1" t="s">
        <v>7</v>
      </c>
      <c r="F279" s="13" t="str">
        <f>VLOOKUP(E279,'Master Kode'!$B$3:$D$13,2,0)</f>
        <v>PET Clear Flakes</v>
      </c>
      <c r="G279" s="1">
        <v>2740</v>
      </c>
      <c r="H279" s="1" t="s">
        <v>9</v>
      </c>
      <c r="I279" s="12">
        <v>45978</v>
      </c>
      <c r="K279" s="4"/>
      <c r="L279" s="3"/>
      <c r="M279" s="4"/>
      <c r="N279" s="5"/>
      <c r="O279" s="4"/>
      <c r="P279" s="5"/>
      <c r="Q279" s="4"/>
      <c r="R279" s="4"/>
      <c r="T279" s="4"/>
      <c r="U279" s="12"/>
      <c r="V279" s="4"/>
      <c r="W279" s="4"/>
      <c r="X279" s="5"/>
      <c r="Y279" s="4"/>
      <c r="Z279" s="5"/>
      <c r="AA279" s="4"/>
      <c r="AB279" s="4"/>
      <c r="AC279" s="19"/>
      <c r="AD279" s="19"/>
    </row>
    <row r="280" spans="1:30">
      <c r="A280" s="21"/>
      <c r="B280" s="12">
        <v>45971</v>
      </c>
      <c r="C280" s="1" t="s">
        <v>316</v>
      </c>
      <c r="D280" s="13" t="s">
        <v>13</v>
      </c>
      <c r="E280" s="1" t="s">
        <v>17</v>
      </c>
      <c r="F280" s="13" t="str">
        <f>VLOOKUP(E280,'Master Kode'!$B$3:$D$13,2,0)</f>
        <v>HDPE Mixed Color Flakes</v>
      </c>
      <c r="G280" s="1">
        <v>1990</v>
      </c>
      <c r="H280" s="1" t="s">
        <v>9</v>
      </c>
      <c r="I280" s="12">
        <v>45979</v>
      </c>
      <c r="K280" s="4"/>
      <c r="L280" s="3"/>
      <c r="M280" s="4"/>
      <c r="N280" s="5"/>
      <c r="O280" s="4"/>
      <c r="P280" s="5"/>
      <c r="Q280" s="4"/>
      <c r="R280" s="4"/>
      <c r="T280" s="4"/>
      <c r="U280" s="12"/>
      <c r="V280" s="4"/>
      <c r="W280" s="4"/>
      <c r="X280" s="5"/>
      <c r="Y280" s="4"/>
      <c r="Z280" s="5"/>
      <c r="AA280" s="4"/>
      <c r="AB280" s="4"/>
      <c r="AC280" s="19"/>
      <c r="AD280" s="19"/>
    </row>
    <row r="281" spans="1:30">
      <c r="A281" s="21"/>
      <c r="B281" s="12">
        <v>45972</v>
      </c>
      <c r="C281" s="1" t="s">
        <v>317</v>
      </c>
      <c r="D281" s="13" t="s">
        <v>10</v>
      </c>
      <c r="E281" s="1" t="s">
        <v>28</v>
      </c>
      <c r="F281" s="13" t="str">
        <f>VLOOKUP(E281,'Master Kode'!$B$3:$D$13,2,0)</f>
        <v>PET Mixed Color Flakes</v>
      </c>
      <c r="G281" s="1">
        <v>3050</v>
      </c>
      <c r="H281" s="1" t="s">
        <v>9</v>
      </c>
      <c r="I281" s="12">
        <v>45980</v>
      </c>
      <c r="K281" s="4"/>
      <c r="L281" s="3"/>
      <c r="M281" s="4"/>
      <c r="N281" s="5"/>
      <c r="O281" s="4"/>
      <c r="P281" s="5"/>
      <c r="Q281" s="4"/>
      <c r="R281" s="4"/>
      <c r="T281" s="4"/>
      <c r="U281" s="12"/>
      <c r="V281" s="4"/>
      <c r="W281" s="4"/>
      <c r="X281" s="5"/>
      <c r="Y281" s="4"/>
      <c r="Z281" s="5"/>
      <c r="AA281" s="4"/>
      <c r="AB281" s="4"/>
      <c r="AC281" s="19"/>
      <c r="AD281" s="19"/>
    </row>
    <row r="282" spans="1:30">
      <c r="A282" s="21"/>
      <c r="B282" s="12">
        <v>45973</v>
      </c>
      <c r="C282" s="1" t="s">
        <v>318</v>
      </c>
      <c r="D282" s="13" t="s">
        <v>19</v>
      </c>
      <c r="E282" s="1" t="s">
        <v>14</v>
      </c>
      <c r="F282" s="13" t="str">
        <f>VLOOKUP(E282,'Master Kode'!$B$3:$D$13,2,0)</f>
        <v>HDPE Natural Flakes</v>
      </c>
      <c r="G282" s="1">
        <v>2480</v>
      </c>
      <c r="H282" s="1" t="s">
        <v>9</v>
      </c>
      <c r="I282" s="12">
        <v>45981</v>
      </c>
      <c r="K282" s="4"/>
      <c r="L282" s="3"/>
      <c r="M282" s="4"/>
      <c r="N282" s="5"/>
      <c r="O282" s="4"/>
      <c r="P282" s="5"/>
      <c r="Q282" s="4"/>
      <c r="R282" s="4"/>
      <c r="T282" s="4"/>
      <c r="U282" s="12"/>
      <c r="V282" s="4"/>
      <c r="W282" s="4"/>
      <c r="X282" s="5"/>
      <c r="Y282" s="4"/>
      <c r="Z282" s="5"/>
      <c r="AA282" s="4"/>
      <c r="AB282" s="4"/>
      <c r="AC282" s="19"/>
      <c r="AD282" s="19"/>
    </row>
    <row r="283" spans="1:30">
      <c r="A283" s="21"/>
      <c r="B283" s="12">
        <v>45974</v>
      </c>
      <c r="C283" s="1" t="s">
        <v>319</v>
      </c>
      <c r="D283" s="13" t="s">
        <v>25</v>
      </c>
      <c r="E283" s="1" t="s">
        <v>32</v>
      </c>
      <c r="F283" s="13" t="str">
        <f>VLOOKUP(E283,'Master Kode'!$B$3:$D$13,2,0)</f>
        <v>HDPE Bottle Cap Flakes</v>
      </c>
      <c r="G283" s="1">
        <v>1670</v>
      </c>
      <c r="H283" s="1" t="s">
        <v>9</v>
      </c>
      <c r="I283" s="12">
        <v>45982</v>
      </c>
      <c r="K283" s="4"/>
      <c r="L283" s="3"/>
      <c r="M283" s="4"/>
      <c r="N283" s="5"/>
      <c r="O283" s="4"/>
      <c r="P283" s="5"/>
      <c r="Q283" s="4"/>
      <c r="R283" s="4"/>
      <c r="T283" s="4"/>
      <c r="U283" s="12"/>
      <c r="V283" s="4"/>
      <c r="W283" s="4"/>
      <c r="X283" s="5"/>
      <c r="Y283" s="4"/>
      <c r="Z283" s="5"/>
      <c r="AA283" s="4"/>
      <c r="AB283" s="4"/>
      <c r="AC283" s="19"/>
      <c r="AD283" s="19"/>
    </row>
    <row r="284" spans="1:30">
      <c r="A284" s="21"/>
      <c r="B284" s="12">
        <v>45975</v>
      </c>
      <c r="C284" s="1" t="s">
        <v>320</v>
      </c>
      <c r="D284" s="13" t="s">
        <v>22</v>
      </c>
      <c r="E284" s="1" t="s">
        <v>30</v>
      </c>
      <c r="F284" s="13" t="str">
        <f>VLOOKUP(E284,'Master Kode'!$B$3:$D$13,2,0)</f>
        <v>PP White Flakes</v>
      </c>
      <c r="G284" s="1">
        <v>2230</v>
      </c>
      <c r="H284" s="1" t="s">
        <v>9</v>
      </c>
      <c r="I284" s="12">
        <v>45983</v>
      </c>
      <c r="K284" s="4"/>
      <c r="L284" s="3"/>
      <c r="M284" s="4"/>
      <c r="N284" s="5"/>
      <c r="O284" s="4"/>
      <c r="P284" s="5"/>
      <c r="Q284" s="4"/>
      <c r="R284" s="4"/>
      <c r="T284" s="4"/>
      <c r="U284" s="12"/>
      <c r="V284" s="4"/>
      <c r="W284" s="4"/>
      <c r="X284" s="5"/>
      <c r="Y284" s="4"/>
      <c r="Z284" s="5"/>
      <c r="AA284" s="4"/>
      <c r="AB284" s="4"/>
      <c r="AC284" s="19"/>
      <c r="AD284" s="19"/>
    </row>
    <row r="285" spans="1:30">
      <c r="A285" s="21"/>
      <c r="B285" s="12">
        <v>45976</v>
      </c>
      <c r="C285" s="1" t="s">
        <v>321</v>
      </c>
      <c r="D285" s="13" t="s">
        <v>16</v>
      </c>
      <c r="E285" s="1" t="s">
        <v>23</v>
      </c>
      <c r="F285" s="13" t="str">
        <f>VLOOKUP(E285,'Master Kode'!$B$3:$D$13,2,0)</f>
        <v>PET Green Flakes</v>
      </c>
      <c r="G285" s="1">
        <v>2870</v>
      </c>
      <c r="H285" s="1" t="s">
        <v>9</v>
      </c>
      <c r="I285" s="12">
        <v>45984</v>
      </c>
      <c r="K285" s="4"/>
      <c r="L285" s="3"/>
      <c r="M285" s="4"/>
      <c r="N285" s="5"/>
      <c r="O285" s="4"/>
      <c r="P285" s="5"/>
      <c r="Q285" s="4"/>
      <c r="R285" s="4"/>
      <c r="T285" s="4"/>
      <c r="U285" s="12"/>
      <c r="V285" s="4"/>
      <c r="W285" s="4"/>
      <c r="X285" s="5"/>
      <c r="Y285" s="4"/>
      <c r="Z285" s="5"/>
      <c r="AA285" s="4"/>
      <c r="AB285" s="4"/>
      <c r="AC285" s="19"/>
      <c r="AD285" s="19"/>
    </row>
    <row r="286" spans="1:30">
      <c r="A286" s="21"/>
      <c r="B286" s="12">
        <v>45977</v>
      </c>
      <c r="C286" s="1" t="s">
        <v>322</v>
      </c>
      <c r="D286" s="13" t="s">
        <v>13</v>
      </c>
      <c r="E286" s="1" t="s">
        <v>7</v>
      </c>
      <c r="F286" s="13" t="str">
        <f>VLOOKUP(E286,'Master Kode'!$B$3:$D$13,2,0)</f>
        <v>PET Clear Flakes</v>
      </c>
      <c r="G286" s="1">
        <v>3120</v>
      </c>
      <c r="H286" s="1" t="s">
        <v>9</v>
      </c>
      <c r="I286" s="12">
        <v>45985</v>
      </c>
      <c r="K286" s="4"/>
      <c r="L286" s="3"/>
      <c r="M286" s="4"/>
      <c r="N286" s="5"/>
      <c r="O286" s="4"/>
      <c r="P286" s="5"/>
      <c r="Q286" s="4"/>
      <c r="R286" s="4"/>
      <c r="T286" s="4"/>
      <c r="U286" s="12"/>
      <c r="V286" s="4"/>
      <c r="W286" s="4"/>
      <c r="X286" s="5"/>
      <c r="Y286" s="4"/>
      <c r="Z286" s="5"/>
      <c r="AA286" s="4"/>
      <c r="AB286" s="4"/>
      <c r="AC286" s="19"/>
      <c r="AD286" s="19"/>
    </row>
    <row r="287" spans="1:30">
      <c r="A287" s="21"/>
      <c r="B287" s="12">
        <v>45987</v>
      </c>
      <c r="C287" s="1" t="s">
        <v>323</v>
      </c>
      <c r="D287" s="13" t="s">
        <v>6</v>
      </c>
      <c r="E287" s="1" t="s">
        <v>7</v>
      </c>
      <c r="F287" s="13" t="str">
        <f>VLOOKUP(E287,'Master Kode'!$B$3:$D$13,2,0)</f>
        <v>PET Clear Flakes</v>
      </c>
      <c r="G287" s="1">
        <v>1850</v>
      </c>
      <c r="H287" s="1" t="s">
        <v>9</v>
      </c>
      <c r="I287" s="12">
        <v>45994</v>
      </c>
      <c r="K287" s="4"/>
      <c r="L287" s="3"/>
      <c r="M287" s="4"/>
      <c r="N287" s="5"/>
      <c r="O287" s="4"/>
      <c r="P287" s="5"/>
      <c r="Q287" s="4"/>
      <c r="R287" s="4"/>
      <c r="T287" s="4"/>
      <c r="U287" s="12"/>
      <c r="V287" s="4"/>
      <c r="W287" s="4"/>
      <c r="X287" s="5"/>
      <c r="Y287" s="4"/>
      <c r="Z287" s="5"/>
      <c r="AA287" s="4"/>
      <c r="AB287" s="4"/>
      <c r="AC287" s="19"/>
      <c r="AD287" s="19"/>
    </row>
    <row r="288" spans="1:30">
      <c r="A288" s="21"/>
      <c r="B288" s="12">
        <v>45987</v>
      </c>
      <c r="C288" s="1" t="s">
        <v>324</v>
      </c>
      <c r="D288" s="13" t="s">
        <v>10</v>
      </c>
      <c r="E288" s="1" t="s">
        <v>11</v>
      </c>
      <c r="F288" s="13" t="str">
        <f>VLOOKUP(E288,'Master Kode'!$B$3:$D$13,2,0)</f>
        <v>PET Blue Flakes</v>
      </c>
      <c r="G288" s="1">
        <v>2950</v>
      </c>
      <c r="H288" s="1" t="s">
        <v>9</v>
      </c>
      <c r="I288" s="12">
        <v>45995</v>
      </c>
      <c r="K288" s="4"/>
      <c r="L288" s="3"/>
      <c r="M288" s="4"/>
      <c r="N288" s="5"/>
      <c r="O288" s="4"/>
      <c r="P288" s="5"/>
      <c r="Q288" s="4"/>
      <c r="R288" s="4"/>
      <c r="T288" s="4"/>
      <c r="U288" s="12"/>
      <c r="V288" s="4"/>
      <c r="W288" s="4"/>
      <c r="X288" s="5"/>
      <c r="Y288" s="4"/>
      <c r="Z288" s="5"/>
      <c r="AA288" s="4"/>
      <c r="AB288" s="4"/>
      <c r="AC288" s="19"/>
      <c r="AD288" s="19"/>
    </row>
    <row r="289" spans="1:30">
      <c r="A289" s="21"/>
      <c r="B289" s="12">
        <v>45987</v>
      </c>
      <c r="C289" s="1" t="s">
        <v>325</v>
      </c>
      <c r="D289" s="13" t="s">
        <v>13</v>
      </c>
      <c r="E289" s="1" t="s">
        <v>14</v>
      </c>
      <c r="F289" s="13" t="str">
        <f>VLOOKUP(E289,'Master Kode'!$B$3:$D$13,2,0)</f>
        <v>HDPE Natural Flakes</v>
      </c>
      <c r="G289" s="1">
        <v>2100</v>
      </c>
      <c r="H289" s="1" t="s">
        <v>9</v>
      </c>
      <c r="I289" s="12">
        <v>45995</v>
      </c>
      <c r="K289" s="4"/>
      <c r="L289" s="3"/>
      <c r="M289" s="4"/>
      <c r="N289" s="5"/>
      <c r="O289" s="4"/>
      <c r="P289" s="5"/>
      <c r="Q289" s="4"/>
      <c r="R289" s="4"/>
      <c r="T289" s="4"/>
      <c r="U289" s="12"/>
      <c r="V289" s="4"/>
      <c r="W289" s="4"/>
      <c r="X289" s="5"/>
      <c r="Y289" s="4"/>
      <c r="Z289" s="5"/>
      <c r="AA289" s="4"/>
      <c r="AB289" s="4"/>
      <c r="AC289" s="19"/>
      <c r="AD289" s="19"/>
    </row>
    <row r="290" spans="1:30">
      <c r="A290" s="21"/>
      <c r="B290" s="12">
        <v>45988</v>
      </c>
      <c r="C290" s="1" t="s">
        <v>326</v>
      </c>
      <c r="D290" s="13" t="s">
        <v>16</v>
      </c>
      <c r="E290" s="1" t="s">
        <v>17</v>
      </c>
      <c r="F290" s="13" t="str">
        <f>VLOOKUP(E290,'Master Kode'!$B$3:$D$13,2,0)</f>
        <v>HDPE Mixed Color Flakes</v>
      </c>
      <c r="G290" s="1">
        <v>1740</v>
      </c>
      <c r="H290" s="1" t="s">
        <v>9</v>
      </c>
      <c r="I290" s="12">
        <v>45996</v>
      </c>
      <c r="K290" s="4"/>
      <c r="L290" s="3"/>
      <c r="M290" s="4"/>
      <c r="N290" s="5"/>
      <c r="O290" s="4"/>
      <c r="P290" s="5"/>
      <c r="Q290" s="4"/>
      <c r="R290" s="4"/>
      <c r="T290" s="4"/>
      <c r="U290" s="12"/>
      <c r="V290" s="4"/>
      <c r="W290" s="4"/>
      <c r="X290" s="5"/>
      <c r="Y290" s="4"/>
      <c r="Z290" s="5"/>
      <c r="AA290" s="4"/>
      <c r="AB290" s="4"/>
      <c r="AC290" s="19"/>
      <c r="AD290" s="19"/>
    </row>
    <row r="291" spans="1:30">
      <c r="A291" s="21"/>
      <c r="B291" s="12">
        <v>45988</v>
      </c>
      <c r="C291" s="1" t="s">
        <v>327</v>
      </c>
      <c r="D291" s="13" t="s">
        <v>19</v>
      </c>
      <c r="E291" s="1" t="s">
        <v>20</v>
      </c>
      <c r="F291" s="13" t="str">
        <f>VLOOKUP(E291,'Master Kode'!$B$3:$D$13,2,0)</f>
        <v>PP Injection Flakes</v>
      </c>
      <c r="G291" s="1">
        <v>2600</v>
      </c>
      <c r="H291" s="1" t="s">
        <v>9</v>
      </c>
      <c r="I291" s="12">
        <v>45996</v>
      </c>
      <c r="K291" s="4"/>
      <c r="L291" s="3"/>
      <c r="M291" s="4"/>
      <c r="N291" s="5"/>
      <c r="O291" s="4"/>
      <c r="P291" s="5"/>
      <c r="Q291" s="4"/>
      <c r="R291" s="4"/>
      <c r="T291" s="4"/>
      <c r="U291" s="12"/>
      <c r="V291" s="4"/>
      <c r="W291" s="4"/>
      <c r="X291" s="5"/>
      <c r="Y291" s="4"/>
      <c r="Z291" s="5"/>
      <c r="AA291" s="4"/>
      <c r="AB291" s="4"/>
      <c r="AC291" s="19"/>
      <c r="AD291" s="19"/>
    </row>
    <row r="292" spans="1:30">
      <c r="A292" s="21"/>
      <c r="B292" s="12">
        <v>45989</v>
      </c>
      <c r="C292" s="1" t="s">
        <v>328</v>
      </c>
      <c r="D292" s="13" t="s">
        <v>22</v>
      </c>
      <c r="E292" s="1" t="s">
        <v>23</v>
      </c>
      <c r="F292" s="13" t="str">
        <f>VLOOKUP(E292,'Master Kode'!$B$3:$D$13,2,0)</f>
        <v>PET Green Flakes</v>
      </c>
      <c r="G292" s="1">
        <v>3250</v>
      </c>
      <c r="H292" s="1" t="s">
        <v>9</v>
      </c>
      <c r="I292" s="12">
        <v>45997</v>
      </c>
      <c r="K292" s="4"/>
      <c r="L292" s="3"/>
      <c r="M292" s="4"/>
      <c r="N292" s="5"/>
      <c r="O292" s="4"/>
      <c r="P292" s="5"/>
      <c r="Q292" s="4"/>
      <c r="R292" s="4"/>
      <c r="T292" s="4"/>
      <c r="U292" s="12"/>
      <c r="V292" s="4"/>
      <c r="W292" s="4"/>
      <c r="X292" s="5"/>
      <c r="Y292" s="4"/>
      <c r="Z292" s="5"/>
      <c r="AA292" s="4"/>
      <c r="AB292" s="4"/>
      <c r="AC292" s="19"/>
      <c r="AD292" s="19"/>
    </row>
    <row r="293" spans="1:30">
      <c r="A293" s="21"/>
      <c r="B293" s="12">
        <v>45989</v>
      </c>
      <c r="C293" s="1" t="s">
        <v>329</v>
      </c>
      <c r="D293" s="13" t="s">
        <v>25</v>
      </c>
      <c r="E293" s="1" t="s">
        <v>26</v>
      </c>
      <c r="F293" s="13" t="str">
        <f>VLOOKUP(E293,'Master Kode'!$B$3:$D$13,2,0)</f>
        <v>HDPE Blue Drum Flakes</v>
      </c>
      <c r="G293" s="1">
        <v>1480</v>
      </c>
      <c r="H293" s="1" t="s">
        <v>9</v>
      </c>
      <c r="I293" s="12">
        <v>45997</v>
      </c>
      <c r="K293" s="4"/>
      <c r="L293" s="3"/>
      <c r="M293" s="4"/>
      <c r="N293" s="5"/>
      <c r="O293" s="4"/>
      <c r="P293" s="5"/>
      <c r="Q293" s="4"/>
      <c r="R293" s="4"/>
      <c r="T293" s="4"/>
      <c r="U293" s="12"/>
      <c r="V293" s="4"/>
      <c r="W293" s="4"/>
      <c r="X293" s="5"/>
      <c r="Y293" s="4"/>
      <c r="Z293" s="5"/>
      <c r="AA293" s="4"/>
      <c r="AB293" s="4"/>
      <c r="AC293" s="19"/>
      <c r="AD293" s="19"/>
    </row>
    <row r="294" spans="1:30">
      <c r="A294" s="21"/>
      <c r="B294" s="12">
        <v>45990</v>
      </c>
      <c r="C294" s="1" t="s">
        <v>330</v>
      </c>
      <c r="D294" s="13" t="s">
        <v>6</v>
      </c>
      <c r="E294" s="1" t="s">
        <v>28</v>
      </c>
      <c r="F294" s="13" t="str">
        <f>VLOOKUP(E294,'Master Kode'!$B$3:$D$13,2,0)</f>
        <v>PET Mixed Color Flakes</v>
      </c>
      <c r="G294" s="1">
        <v>2100</v>
      </c>
      <c r="H294" s="1" t="s">
        <v>9</v>
      </c>
      <c r="I294" s="12">
        <v>45998</v>
      </c>
      <c r="K294" s="4"/>
      <c r="L294" s="3"/>
      <c r="M294" s="4"/>
      <c r="N294" s="5"/>
      <c r="O294" s="4"/>
      <c r="P294" s="5"/>
      <c r="Q294" s="4"/>
      <c r="R294" s="4"/>
      <c r="T294" s="4"/>
      <c r="U294" s="12"/>
      <c r="V294" s="4"/>
      <c r="W294" s="4"/>
      <c r="X294" s="5"/>
      <c r="Y294" s="4"/>
      <c r="Z294" s="5"/>
      <c r="AA294" s="4"/>
      <c r="AB294" s="4"/>
      <c r="AC294" s="19"/>
      <c r="AD294" s="19"/>
    </row>
    <row r="295" spans="1:30">
      <c r="A295" s="21"/>
      <c r="B295" s="12">
        <v>45990</v>
      </c>
      <c r="C295" s="1" t="s">
        <v>331</v>
      </c>
      <c r="D295" s="13" t="s">
        <v>10</v>
      </c>
      <c r="E295" s="1" t="s">
        <v>7</v>
      </c>
      <c r="F295" s="13" t="str">
        <f>VLOOKUP(E295,'Master Kode'!$B$3:$D$13,2,0)</f>
        <v>PET Clear Flakes</v>
      </c>
      <c r="G295" s="1">
        <v>3320</v>
      </c>
      <c r="H295" s="1" t="s">
        <v>9</v>
      </c>
      <c r="I295" s="12">
        <v>45998</v>
      </c>
      <c r="K295" s="4"/>
      <c r="L295" s="3"/>
      <c r="M295" s="4"/>
      <c r="N295" s="5"/>
      <c r="O295" s="4"/>
      <c r="P295" s="5"/>
      <c r="Q295" s="4"/>
      <c r="R295" s="4"/>
      <c r="T295" s="4"/>
      <c r="U295" s="12"/>
      <c r="V295" s="4"/>
      <c r="W295" s="4"/>
      <c r="X295" s="5"/>
      <c r="Y295" s="4"/>
      <c r="Z295" s="5"/>
      <c r="AA295" s="4"/>
      <c r="AB295" s="4"/>
      <c r="AC295" s="19"/>
      <c r="AD295" s="19"/>
    </row>
    <row r="296" spans="1:30">
      <c r="A296" s="21"/>
      <c r="B296" s="12">
        <v>45991</v>
      </c>
      <c r="C296" s="1" t="s">
        <v>332</v>
      </c>
      <c r="D296" s="13" t="s">
        <v>13</v>
      </c>
      <c r="E296" s="1" t="s">
        <v>30</v>
      </c>
      <c r="F296" s="13" t="str">
        <f>VLOOKUP(E296,'Master Kode'!$B$3:$D$13,2,0)</f>
        <v>PP White Flakes</v>
      </c>
      <c r="G296" s="1">
        <v>2550</v>
      </c>
      <c r="H296" s="1" t="s">
        <v>9</v>
      </c>
      <c r="I296" s="12">
        <v>45999</v>
      </c>
      <c r="K296" s="4"/>
      <c r="L296" s="3"/>
      <c r="M296" s="4"/>
      <c r="N296" s="5"/>
      <c r="O296" s="4"/>
      <c r="P296" s="5"/>
      <c r="Q296" s="4"/>
      <c r="R296" s="4"/>
      <c r="T296" s="4"/>
      <c r="U296" s="12"/>
      <c r="V296" s="4"/>
      <c r="W296" s="4"/>
      <c r="X296" s="5"/>
      <c r="Y296" s="4"/>
      <c r="Z296" s="5"/>
      <c r="AA296" s="4"/>
      <c r="AB296" s="4"/>
      <c r="AC296" s="19"/>
      <c r="AD296" s="19"/>
    </row>
    <row r="297" spans="1:30">
      <c r="A297" s="21"/>
      <c r="B297" s="12">
        <v>45991</v>
      </c>
      <c r="C297" s="1" t="s">
        <v>333</v>
      </c>
      <c r="D297" s="13" t="s">
        <v>16</v>
      </c>
      <c r="E297" s="1" t="s">
        <v>17</v>
      </c>
      <c r="F297" s="13" t="str">
        <f>VLOOKUP(E297,'Master Kode'!$B$3:$D$13,2,0)</f>
        <v>HDPE Mixed Color Flakes</v>
      </c>
      <c r="G297" s="1">
        <v>3780</v>
      </c>
      <c r="H297" s="1" t="s">
        <v>9</v>
      </c>
      <c r="I297" s="12">
        <v>45999</v>
      </c>
      <c r="K297" s="4"/>
      <c r="L297" s="3"/>
      <c r="M297" s="4"/>
      <c r="N297" s="5"/>
      <c r="O297" s="4"/>
      <c r="P297" s="5"/>
      <c r="Q297" s="4"/>
      <c r="R297" s="4"/>
      <c r="T297" s="4"/>
      <c r="U297" s="12"/>
      <c r="V297" s="4"/>
      <c r="W297" s="4"/>
      <c r="X297" s="5"/>
      <c r="Y297" s="4"/>
      <c r="Z297" s="5"/>
      <c r="AA297" s="4"/>
      <c r="AB297" s="4"/>
      <c r="AC297" s="19"/>
      <c r="AD297" s="19"/>
    </row>
    <row r="298" spans="1:30">
      <c r="A298" s="21"/>
      <c r="B298" s="12">
        <v>45992</v>
      </c>
      <c r="C298" s="1" t="s">
        <v>334</v>
      </c>
      <c r="D298" s="13" t="s">
        <v>19</v>
      </c>
      <c r="E298" s="1" t="s">
        <v>34</v>
      </c>
      <c r="F298" s="13" t="str">
        <f>VLOOKUP(E298,'Master Kode'!$B$3:$D$13,2,0)</f>
        <v>PET Hot Washed Flakes</v>
      </c>
      <c r="G298" s="1">
        <v>3150</v>
      </c>
      <c r="H298" s="1" t="s">
        <v>9</v>
      </c>
      <c r="I298" s="12">
        <v>46000</v>
      </c>
      <c r="K298" s="4"/>
      <c r="L298" s="3"/>
      <c r="M298" s="4"/>
      <c r="N298" s="5"/>
      <c r="O298" s="4"/>
      <c r="P298" s="5"/>
      <c r="Q298" s="4"/>
      <c r="R298" s="4"/>
      <c r="T298" s="4"/>
      <c r="U298" s="12"/>
      <c r="V298" s="4"/>
      <c r="W298" s="4"/>
      <c r="X298" s="5"/>
      <c r="Y298" s="4"/>
      <c r="Z298" s="5"/>
      <c r="AA298" s="4"/>
      <c r="AB298" s="4"/>
      <c r="AC298" s="19"/>
      <c r="AD298" s="19"/>
    </row>
    <row r="299" spans="1:30">
      <c r="A299" s="21"/>
      <c r="B299" s="12">
        <v>45992</v>
      </c>
      <c r="C299" s="1" t="s">
        <v>335</v>
      </c>
      <c r="D299" s="13" t="s">
        <v>22</v>
      </c>
      <c r="E299" s="1" t="s">
        <v>11</v>
      </c>
      <c r="F299" s="13" t="str">
        <f>VLOOKUP(E299,'Master Kode'!$B$3:$D$13,2,0)</f>
        <v>PET Blue Flakes</v>
      </c>
      <c r="G299" s="1">
        <v>2890</v>
      </c>
      <c r="H299" s="1" t="s">
        <v>9</v>
      </c>
      <c r="I299" s="12">
        <v>46000</v>
      </c>
      <c r="K299" s="4"/>
      <c r="L299" s="3"/>
      <c r="M299" s="4"/>
      <c r="N299" s="5"/>
      <c r="O299" s="4"/>
      <c r="P299" s="5"/>
      <c r="Q299" s="4"/>
      <c r="R299" s="4"/>
      <c r="T299" s="4"/>
      <c r="U299" s="12"/>
      <c r="V299" s="4"/>
      <c r="W299" s="4"/>
      <c r="X299" s="5"/>
      <c r="Y299" s="4"/>
      <c r="Z299" s="5"/>
      <c r="AA299" s="4"/>
      <c r="AB299" s="4"/>
      <c r="AC299" s="19"/>
      <c r="AD299" s="19"/>
    </row>
    <row r="300" spans="1:30">
      <c r="A300" s="21"/>
      <c r="B300" s="12">
        <v>45993</v>
      </c>
      <c r="C300" s="1" t="s">
        <v>336</v>
      </c>
      <c r="D300" s="13" t="s">
        <v>25</v>
      </c>
      <c r="E300" s="1" t="s">
        <v>14</v>
      </c>
      <c r="F300" s="13" t="str">
        <f>VLOOKUP(E300,'Master Kode'!$B$3:$D$13,2,0)</f>
        <v>HDPE Natural Flakes</v>
      </c>
      <c r="G300" s="1">
        <v>1940</v>
      </c>
      <c r="H300" s="1" t="s">
        <v>9</v>
      </c>
      <c r="I300" s="12">
        <v>46001</v>
      </c>
      <c r="K300" s="4"/>
      <c r="L300" s="3"/>
      <c r="M300" s="4"/>
      <c r="N300" s="5"/>
      <c r="O300" s="4"/>
      <c r="P300" s="5"/>
      <c r="Q300" s="4"/>
      <c r="R300" s="4"/>
      <c r="T300" s="4"/>
      <c r="U300" s="12"/>
      <c r="V300" s="4"/>
      <c r="W300" s="4"/>
      <c r="X300" s="5"/>
      <c r="Y300" s="4"/>
      <c r="Z300" s="5"/>
      <c r="AA300" s="4"/>
      <c r="AB300" s="4"/>
      <c r="AC300" s="19"/>
      <c r="AD300" s="19"/>
    </row>
    <row r="301" spans="1:30">
      <c r="A301" s="21"/>
      <c r="B301" s="12">
        <v>45994</v>
      </c>
      <c r="C301" s="1" t="s">
        <v>337</v>
      </c>
      <c r="D301" s="13" t="s">
        <v>6</v>
      </c>
      <c r="E301" s="1" t="s">
        <v>7</v>
      </c>
      <c r="F301" s="13" t="str">
        <f>VLOOKUP(E301,'Master Kode'!$B$3:$D$13,2,0)</f>
        <v>PET Clear Flakes</v>
      </c>
      <c r="G301" s="1">
        <v>3500</v>
      </c>
      <c r="H301" s="1" t="s">
        <v>9</v>
      </c>
      <c r="I301" s="12">
        <v>46002</v>
      </c>
      <c r="K301" s="4"/>
      <c r="L301" s="3"/>
      <c r="M301" s="4"/>
      <c r="N301" s="5"/>
      <c r="O301" s="4"/>
      <c r="P301" s="5"/>
      <c r="Q301" s="4"/>
      <c r="R301" s="4"/>
      <c r="T301" s="4"/>
      <c r="U301" s="12"/>
      <c r="V301" s="4"/>
      <c r="W301" s="4"/>
      <c r="X301" s="5"/>
      <c r="Y301" s="4"/>
      <c r="Z301" s="5"/>
      <c r="AA301" s="4"/>
      <c r="AB301" s="4"/>
      <c r="AC301" s="19"/>
      <c r="AD301" s="19"/>
    </row>
    <row r="302" spans="1:30">
      <c r="A302" s="21"/>
      <c r="B302" s="12">
        <v>45995</v>
      </c>
      <c r="C302" s="1" t="s">
        <v>338</v>
      </c>
      <c r="D302" s="13" t="s">
        <v>10</v>
      </c>
      <c r="E302" s="1" t="s">
        <v>28</v>
      </c>
      <c r="F302" s="13" t="str">
        <f>VLOOKUP(E302,'Master Kode'!$B$3:$D$13,2,0)</f>
        <v>PET Mixed Color Flakes</v>
      </c>
      <c r="G302" s="1">
        <v>2250</v>
      </c>
      <c r="H302" s="1" t="s">
        <v>9</v>
      </c>
      <c r="I302" s="12">
        <v>46003</v>
      </c>
      <c r="K302" s="4"/>
      <c r="L302" s="3"/>
      <c r="M302" s="4"/>
      <c r="N302" s="5"/>
      <c r="O302" s="4"/>
      <c r="P302" s="5"/>
      <c r="Q302" s="4"/>
      <c r="R302" s="4"/>
      <c r="T302" s="4"/>
      <c r="U302" s="12"/>
      <c r="V302" s="4"/>
      <c r="W302" s="4"/>
      <c r="X302" s="5"/>
      <c r="Y302" s="4"/>
      <c r="Z302" s="5"/>
      <c r="AA302" s="4"/>
      <c r="AB302" s="4"/>
      <c r="AC302" s="19"/>
      <c r="AD302" s="19"/>
    </row>
    <row r="303" spans="1:30">
      <c r="A303" s="21"/>
      <c r="B303" s="12">
        <v>45996</v>
      </c>
      <c r="C303" s="1" t="s">
        <v>339</v>
      </c>
      <c r="D303" s="13" t="s">
        <v>13</v>
      </c>
      <c r="E303" s="1" t="s">
        <v>20</v>
      </c>
      <c r="F303" s="13" t="str">
        <f>VLOOKUP(E303,'Master Kode'!$B$3:$D$13,2,0)</f>
        <v>PP Injection Flakes</v>
      </c>
      <c r="G303" s="1">
        <v>2730</v>
      </c>
      <c r="H303" s="1" t="s">
        <v>9</v>
      </c>
      <c r="I303" s="12">
        <v>46004</v>
      </c>
      <c r="K303" s="4"/>
      <c r="L303" s="3"/>
      <c r="M303" s="4"/>
      <c r="N303" s="5"/>
      <c r="O303" s="4"/>
      <c r="P303" s="5"/>
      <c r="Q303" s="4"/>
      <c r="R303" s="4"/>
      <c r="T303" s="4"/>
      <c r="U303" s="12"/>
      <c r="V303" s="4"/>
      <c r="W303" s="4"/>
      <c r="X303" s="5"/>
      <c r="Y303" s="4"/>
      <c r="Z303" s="5"/>
      <c r="AA303" s="4"/>
      <c r="AB303" s="4"/>
      <c r="AC303" s="19"/>
      <c r="AD303" s="19"/>
    </row>
    <row r="304" spans="1:30">
      <c r="A304" s="21"/>
      <c r="B304" s="12">
        <v>45997</v>
      </c>
      <c r="C304" s="1" t="s">
        <v>340</v>
      </c>
      <c r="D304" s="13" t="s">
        <v>16</v>
      </c>
      <c r="E304" s="1" t="s">
        <v>26</v>
      </c>
      <c r="F304" s="13" t="str">
        <f>VLOOKUP(E304,'Master Kode'!$B$3:$D$13,2,0)</f>
        <v>HDPE Blue Drum Flakes</v>
      </c>
      <c r="G304" s="1">
        <v>1650</v>
      </c>
      <c r="H304" s="1" t="s">
        <v>9</v>
      </c>
      <c r="I304" s="12">
        <v>46005</v>
      </c>
      <c r="K304" s="4"/>
      <c r="L304" s="3"/>
      <c r="M304" s="4"/>
      <c r="N304" s="5"/>
      <c r="O304" s="4"/>
      <c r="P304" s="5"/>
      <c r="Q304" s="4"/>
      <c r="R304" s="4"/>
      <c r="T304" s="4"/>
      <c r="U304" s="12"/>
      <c r="V304" s="4"/>
      <c r="W304" s="4"/>
      <c r="X304" s="5"/>
      <c r="Y304" s="4"/>
      <c r="Z304" s="5"/>
      <c r="AA304" s="4"/>
      <c r="AB304" s="4"/>
      <c r="AC304" s="19"/>
      <c r="AD304" s="19"/>
    </row>
    <row r="305" spans="1:30">
      <c r="A305" s="21"/>
      <c r="B305" s="12">
        <v>45998</v>
      </c>
      <c r="C305" s="1" t="s">
        <v>341</v>
      </c>
      <c r="D305" s="13" t="s">
        <v>19</v>
      </c>
      <c r="E305" s="1" t="s">
        <v>23</v>
      </c>
      <c r="F305" s="13" t="str">
        <f>VLOOKUP(E305,'Master Kode'!$B$3:$D$13,2,0)</f>
        <v>PET Green Flakes</v>
      </c>
      <c r="G305" s="1">
        <v>3080</v>
      </c>
      <c r="H305" s="1" t="s">
        <v>9</v>
      </c>
      <c r="I305" s="12">
        <v>46006</v>
      </c>
      <c r="K305" s="4"/>
      <c r="L305" s="3"/>
      <c r="M305" s="4"/>
      <c r="N305" s="5"/>
      <c r="O305" s="4"/>
      <c r="P305" s="5"/>
      <c r="Q305" s="4"/>
      <c r="R305" s="4"/>
      <c r="T305" s="4"/>
      <c r="U305" s="12"/>
      <c r="V305" s="4"/>
      <c r="W305" s="4"/>
      <c r="X305" s="5"/>
      <c r="Y305" s="4"/>
      <c r="Z305" s="5"/>
      <c r="AA305" s="4"/>
      <c r="AB305" s="4"/>
      <c r="AC305" s="19"/>
      <c r="AD305" s="19"/>
    </row>
    <row r="306" spans="1:30">
      <c r="A306" s="21"/>
      <c r="B306" s="12">
        <v>45999</v>
      </c>
      <c r="C306" s="1" t="s">
        <v>342</v>
      </c>
      <c r="D306" s="13" t="s">
        <v>22</v>
      </c>
      <c r="E306" s="1" t="s">
        <v>30</v>
      </c>
      <c r="F306" s="13" t="str">
        <f>VLOOKUP(E306,'Master Kode'!$B$3:$D$13,2,0)</f>
        <v>PP White Flakes</v>
      </c>
      <c r="G306" s="1">
        <v>2420</v>
      </c>
      <c r="H306" s="1" t="s">
        <v>9</v>
      </c>
      <c r="I306" s="12">
        <v>46007</v>
      </c>
      <c r="K306" s="4"/>
      <c r="L306" s="3"/>
      <c r="M306" s="4"/>
      <c r="N306" s="5"/>
      <c r="O306" s="4"/>
      <c r="P306" s="5"/>
      <c r="Q306" s="4"/>
      <c r="R306" s="4"/>
      <c r="T306" s="4"/>
      <c r="U306" s="12"/>
      <c r="V306" s="4"/>
      <c r="W306" s="4"/>
      <c r="X306" s="5"/>
      <c r="Y306" s="4"/>
      <c r="Z306" s="5"/>
      <c r="AA306" s="4"/>
      <c r="AB306" s="4"/>
      <c r="AC306" s="19"/>
      <c r="AD306" s="19"/>
    </row>
    <row r="307" spans="1:30">
      <c r="A307" s="21"/>
      <c r="B307" s="12">
        <v>46000</v>
      </c>
      <c r="C307" s="1" t="s">
        <v>343</v>
      </c>
      <c r="D307" s="13" t="s">
        <v>25</v>
      </c>
      <c r="E307" s="1" t="s">
        <v>34</v>
      </c>
      <c r="F307" s="13" t="str">
        <f>VLOOKUP(E307,'Master Kode'!$B$3:$D$13,2,0)</f>
        <v>PET Hot Washed Flakes</v>
      </c>
      <c r="G307" s="1">
        <v>3340</v>
      </c>
      <c r="H307" s="1" t="s">
        <v>9</v>
      </c>
      <c r="I307" s="12">
        <v>46008</v>
      </c>
      <c r="K307" s="4"/>
      <c r="L307" s="3"/>
      <c r="M307" s="4"/>
      <c r="N307" s="5"/>
      <c r="O307" s="4"/>
      <c r="P307" s="5"/>
      <c r="Q307" s="4"/>
      <c r="R307" s="4"/>
      <c r="T307" s="4"/>
      <c r="U307" s="12"/>
      <c r="V307" s="4"/>
      <c r="W307" s="4"/>
      <c r="X307" s="5"/>
      <c r="Y307" s="4"/>
      <c r="Z307" s="5"/>
      <c r="AA307" s="4"/>
      <c r="AB307" s="4"/>
      <c r="AC307" s="19"/>
      <c r="AD307" s="19"/>
    </row>
    <row r="308" spans="1:30">
      <c r="A308" s="21"/>
      <c r="B308" s="12">
        <v>46001</v>
      </c>
      <c r="C308" s="1" t="s">
        <v>344</v>
      </c>
      <c r="D308" s="13" t="s">
        <v>6</v>
      </c>
      <c r="E308" s="1" t="s">
        <v>17</v>
      </c>
      <c r="F308" s="13" t="str">
        <f>VLOOKUP(E308,'Master Kode'!$B$3:$D$13,2,0)</f>
        <v>HDPE Mixed Color Flakes</v>
      </c>
      <c r="G308" s="1">
        <v>2870</v>
      </c>
      <c r="H308" s="1" t="s">
        <v>9</v>
      </c>
      <c r="I308" s="12">
        <v>46009</v>
      </c>
      <c r="K308" s="4"/>
      <c r="L308" s="3"/>
      <c r="M308" s="4"/>
      <c r="N308" s="5"/>
      <c r="O308" s="4"/>
      <c r="P308" s="5"/>
      <c r="Q308" s="4"/>
      <c r="R308" s="4"/>
      <c r="T308" s="4"/>
      <c r="U308" s="12"/>
      <c r="V308" s="4"/>
      <c r="W308" s="4"/>
      <c r="X308" s="5"/>
      <c r="Y308" s="4"/>
      <c r="Z308" s="5"/>
      <c r="AA308" s="4"/>
      <c r="AB308" s="4"/>
      <c r="AC308" s="19"/>
      <c r="AD308" s="19"/>
    </row>
    <row r="309" spans="1:30">
      <c r="A309" s="21"/>
      <c r="B309" s="12">
        <v>46002</v>
      </c>
      <c r="C309" s="1" t="s">
        <v>345</v>
      </c>
      <c r="D309" s="13" t="s">
        <v>10</v>
      </c>
      <c r="E309" s="1" t="s">
        <v>7</v>
      </c>
      <c r="F309" s="13" t="str">
        <f>VLOOKUP(E309,'Master Kode'!$B$3:$D$13,2,0)</f>
        <v>PET Clear Flakes</v>
      </c>
      <c r="G309" s="1">
        <v>3620</v>
      </c>
      <c r="H309" s="1" t="s">
        <v>9</v>
      </c>
      <c r="I309" s="12">
        <v>46010</v>
      </c>
      <c r="K309" s="4"/>
      <c r="L309" s="3"/>
      <c r="M309" s="4"/>
      <c r="N309" s="5"/>
      <c r="O309" s="4"/>
      <c r="P309" s="5"/>
      <c r="Q309" s="4"/>
      <c r="R309" s="4"/>
      <c r="T309" s="4"/>
      <c r="U309" s="12"/>
      <c r="V309" s="4"/>
      <c r="W309" s="4"/>
      <c r="X309" s="5"/>
      <c r="Y309" s="4"/>
      <c r="Z309" s="5"/>
      <c r="AA309" s="4"/>
      <c r="AB309" s="4"/>
      <c r="AC309" s="19"/>
      <c r="AD309" s="19"/>
    </row>
    <row r="310" spans="1:30">
      <c r="A310" s="21"/>
      <c r="B310" s="12">
        <v>46003</v>
      </c>
      <c r="C310" s="1" t="s">
        <v>346</v>
      </c>
      <c r="D310" s="13" t="s">
        <v>13</v>
      </c>
      <c r="E310" s="1" t="s">
        <v>14</v>
      </c>
      <c r="F310" s="13" t="str">
        <f>VLOOKUP(E310,'Master Kode'!$B$3:$D$13,2,0)</f>
        <v>HDPE Natural Flakes</v>
      </c>
      <c r="G310" s="1">
        <v>2080</v>
      </c>
      <c r="H310" s="1" t="s">
        <v>9</v>
      </c>
      <c r="I310" s="12">
        <v>46011</v>
      </c>
      <c r="K310" s="4"/>
      <c r="L310" s="3"/>
      <c r="M310" s="4"/>
      <c r="N310" s="5"/>
      <c r="O310" s="4"/>
      <c r="P310" s="5"/>
      <c r="Q310" s="4"/>
      <c r="R310" s="4"/>
      <c r="T310" s="4"/>
      <c r="U310" s="12"/>
      <c r="V310" s="4"/>
      <c r="W310" s="4"/>
      <c r="X310" s="5"/>
      <c r="Y310" s="4"/>
      <c r="Z310" s="5"/>
      <c r="AA310" s="4"/>
      <c r="AB310" s="4"/>
      <c r="AC310" s="19"/>
      <c r="AD310" s="19"/>
    </row>
    <row r="311" spans="1:30">
      <c r="A311" s="21"/>
      <c r="B311" s="12">
        <v>46004</v>
      </c>
      <c r="C311" s="1" t="s">
        <v>347</v>
      </c>
      <c r="D311" s="13" t="s">
        <v>16</v>
      </c>
      <c r="E311" s="1" t="s">
        <v>28</v>
      </c>
      <c r="F311" s="13" t="str">
        <f>VLOOKUP(E311,'Master Kode'!$B$3:$D$13,2,0)</f>
        <v>PET Mixed Color Flakes</v>
      </c>
      <c r="G311" s="1">
        <v>2310</v>
      </c>
      <c r="H311" s="1" t="s">
        <v>9</v>
      </c>
      <c r="I311" s="12">
        <v>46012</v>
      </c>
      <c r="K311" s="4"/>
      <c r="L311" s="3"/>
      <c r="M311" s="4"/>
      <c r="N311" s="5"/>
      <c r="O311" s="4"/>
      <c r="P311" s="5"/>
      <c r="Q311" s="4"/>
      <c r="R311" s="4"/>
      <c r="T311" s="4"/>
      <c r="U311" s="12"/>
      <c r="V311" s="4"/>
      <c r="W311" s="4"/>
      <c r="X311" s="5"/>
      <c r="Y311" s="4"/>
      <c r="Z311" s="5"/>
      <c r="AA311" s="4"/>
      <c r="AB311" s="4"/>
      <c r="AC311" s="19"/>
      <c r="AD311" s="19"/>
    </row>
    <row r="312" spans="1:30">
      <c r="A312" s="21"/>
      <c r="B312" s="12">
        <v>46005</v>
      </c>
      <c r="C312" s="1" t="s">
        <v>348</v>
      </c>
      <c r="D312" s="13" t="s">
        <v>19</v>
      </c>
      <c r="E312" s="1" t="s">
        <v>11</v>
      </c>
      <c r="F312" s="13" t="str">
        <f>VLOOKUP(E312,'Master Kode'!$B$3:$D$13,2,0)</f>
        <v>PET Blue Flakes</v>
      </c>
      <c r="G312" s="1">
        <v>2980</v>
      </c>
      <c r="H312" s="1" t="s">
        <v>9</v>
      </c>
      <c r="I312" s="12">
        <v>46013</v>
      </c>
      <c r="K312" s="4"/>
      <c r="L312" s="3"/>
      <c r="M312" s="4"/>
      <c r="N312" s="5"/>
      <c r="O312" s="4"/>
      <c r="P312" s="5"/>
      <c r="Q312" s="4"/>
      <c r="R312" s="4"/>
      <c r="T312" s="4"/>
      <c r="U312" s="12"/>
      <c r="V312" s="4"/>
      <c r="W312" s="4"/>
      <c r="X312" s="5"/>
      <c r="Y312" s="4"/>
      <c r="Z312" s="5"/>
      <c r="AA312" s="4"/>
      <c r="AB312" s="4"/>
      <c r="AC312" s="19"/>
      <c r="AD312" s="19"/>
    </row>
    <row r="313" spans="1:30">
      <c r="A313" s="21"/>
      <c r="B313" s="12">
        <v>46006</v>
      </c>
      <c r="C313" s="1" t="s">
        <v>349</v>
      </c>
      <c r="D313" s="13" t="s">
        <v>22</v>
      </c>
      <c r="E313" s="1" t="s">
        <v>20</v>
      </c>
      <c r="F313" s="13" t="str">
        <f>VLOOKUP(E313,'Master Kode'!$B$3:$D$13,2,0)</f>
        <v>PP Injection Flakes</v>
      </c>
      <c r="G313" s="1">
        <v>2750</v>
      </c>
      <c r="H313" s="1" t="s">
        <v>9</v>
      </c>
      <c r="I313" s="12">
        <v>46014</v>
      </c>
      <c r="K313" s="4"/>
      <c r="L313" s="3"/>
      <c r="M313" s="4"/>
      <c r="N313" s="5"/>
      <c r="O313" s="4"/>
      <c r="P313" s="5"/>
      <c r="Q313" s="4"/>
      <c r="R313" s="4"/>
      <c r="T313" s="4"/>
      <c r="U313" s="12"/>
      <c r="V313" s="4"/>
      <c r="W313" s="4"/>
      <c r="X313" s="5"/>
      <c r="Y313" s="4"/>
      <c r="Z313" s="5"/>
      <c r="AA313" s="4"/>
      <c r="AB313" s="4"/>
      <c r="AC313" s="19"/>
      <c r="AD313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F9FDB-14C3-4FCD-942B-FF514A98812D}">
  <dimension ref="B2:I313"/>
  <sheetViews>
    <sheetView topLeftCell="A2" zoomScale="115" zoomScaleNormal="115" workbookViewId="0">
      <selection activeCell="B2" sqref="B2:I313"/>
    </sheetView>
  </sheetViews>
  <sheetFormatPr defaultRowHeight="14.5"/>
  <cols>
    <col min="2" max="2" width="12.453125" bestFit="1" customWidth="1"/>
    <col min="3" max="3" width="10.7265625" bestFit="1" customWidth="1"/>
    <col min="4" max="4" width="11.1796875" bestFit="1" customWidth="1"/>
    <col min="5" max="5" width="23.6328125" bestFit="1" customWidth="1"/>
    <col min="6" max="6" width="11.36328125" bestFit="1" customWidth="1"/>
    <col min="7" max="7" width="21.7265625" bestFit="1" customWidth="1"/>
    <col min="8" max="8" width="5" bestFit="1" customWidth="1"/>
    <col min="9" max="9" width="6.6328125" bestFit="1" customWidth="1"/>
    <col min="11" max="11" width="10.453125" bestFit="1" customWidth="1"/>
    <col min="17" max="17" width="12.6328125" bestFit="1" customWidth="1"/>
  </cols>
  <sheetData>
    <row r="2" spans="2:9">
      <c r="B2" s="2" t="s">
        <v>350</v>
      </c>
      <c r="C2" s="2" t="s">
        <v>351</v>
      </c>
      <c r="D2" s="2" t="s">
        <v>0</v>
      </c>
      <c r="E2" s="2" t="s">
        <v>1</v>
      </c>
      <c r="F2" s="2" t="s">
        <v>2</v>
      </c>
      <c r="G2" s="2" t="s">
        <v>3</v>
      </c>
      <c r="H2" s="2" t="s">
        <v>38</v>
      </c>
      <c r="I2" s="2" t="s">
        <v>4</v>
      </c>
    </row>
    <row r="3" spans="2:9">
      <c r="B3" s="4" t="s">
        <v>352</v>
      </c>
      <c r="C3" s="3">
        <f>DATE(2000+MID(B3,7,2),MID(B3,5,2),MID(B3,3,2))</f>
        <v>45660</v>
      </c>
      <c r="D3" s="4" t="s">
        <v>39</v>
      </c>
      <c r="E3" s="5" t="s">
        <v>6</v>
      </c>
      <c r="F3" s="4" t="s">
        <v>7</v>
      </c>
      <c r="G3" s="5" t="str">
        <f>VLOOKUP(F3,'Master Kode'!$B$3:$D$13,2,0)</f>
        <v>PET Clear Flakes</v>
      </c>
      <c r="H3" s="4">
        <v>1205</v>
      </c>
      <c r="I3" s="4" t="s">
        <v>9</v>
      </c>
    </row>
    <row r="4" spans="2:9">
      <c r="B4" s="4" t="s">
        <v>353</v>
      </c>
      <c r="C4" s="3">
        <f t="shared" ref="C4:C67" si="0">DATE(2000+MID(B4,7,2),MID(B4,5,2),MID(B4,3,2))</f>
        <v>45661</v>
      </c>
      <c r="D4" s="4" t="s">
        <v>40</v>
      </c>
      <c r="E4" s="5" t="s">
        <v>10</v>
      </c>
      <c r="F4" s="4" t="s">
        <v>11</v>
      </c>
      <c r="G4" s="5" t="str">
        <f>VLOOKUP(F4,'Master Kode'!$B$3:$D$13,2,0)</f>
        <v>PET Blue Flakes</v>
      </c>
      <c r="H4" s="4">
        <v>3015</v>
      </c>
      <c r="I4" s="4" t="s">
        <v>9</v>
      </c>
    </row>
    <row r="5" spans="2:9">
      <c r="B5" s="4" t="s">
        <v>354</v>
      </c>
      <c r="C5" s="3">
        <f t="shared" si="0"/>
        <v>45662</v>
      </c>
      <c r="D5" s="4" t="s">
        <v>41</v>
      </c>
      <c r="E5" s="5" t="s">
        <v>13</v>
      </c>
      <c r="F5" s="4" t="s">
        <v>14</v>
      </c>
      <c r="G5" s="5" t="str">
        <f>VLOOKUP(F5,'Master Kode'!$B$3:$D$13,2,0)</f>
        <v>HDPE Natural Flakes</v>
      </c>
      <c r="H5" s="4">
        <v>2150</v>
      </c>
      <c r="I5" s="4" t="s">
        <v>9</v>
      </c>
    </row>
    <row r="6" spans="2:9">
      <c r="B6" s="4" t="s">
        <v>355</v>
      </c>
      <c r="C6" s="3">
        <f t="shared" si="0"/>
        <v>45662</v>
      </c>
      <c r="D6" s="4" t="s">
        <v>42</v>
      </c>
      <c r="E6" s="5" t="s">
        <v>16</v>
      </c>
      <c r="F6" s="4" t="s">
        <v>17</v>
      </c>
      <c r="G6" s="5" t="str">
        <f>VLOOKUP(F6,'Master Kode'!$B$3:$D$13,2,0)</f>
        <v>HDPE Mixed Color Flakes</v>
      </c>
      <c r="H6" s="4">
        <v>1890</v>
      </c>
      <c r="I6" s="4" t="s">
        <v>9</v>
      </c>
    </row>
    <row r="7" spans="2:9">
      <c r="B7" s="4" t="s">
        <v>356</v>
      </c>
      <c r="C7" s="3">
        <f t="shared" si="0"/>
        <v>45663</v>
      </c>
      <c r="D7" s="4" t="s">
        <v>43</v>
      </c>
      <c r="E7" s="5" t="s">
        <v>19</v>
      </c>
      <c r="F7" s="4" t="s">
        <v>20</v>
      </c>
      <c r="G7" s="5" t="str">
        <f>VLOOKUP(F7,'Master Kode'!$B$3:$D$13,2,0)</f>
        <v>PP Injection Flakes</v>
      </c>
      <c r="H7" s="4">
        <v>2750</v>
      </c>
      <c r="I7" s="4" t="s">
        <v>9</v>
      </c>
    </row>
    <row r="8" spans="2:9">
      <c r="B8" s="4" t="s">
        <v>357</v>
      </c>
      <c r="C8" s="3">
        <f t="shared" si="0"/>
        <v>45664</v>
      </c>
      <c r="D8" s="4" t="s">
        <v>44</v>
      </c>
      <c r="E8" s="5" t="s">
        <v>22</v>
      </c>
      <c r="F8" s="4" t="s">
        <v>23</v>
      </c>
      <c r="G8" s="5" t="str">
        <f>VLOOKUP(F8,'Master Kode'!$B$3:$D$13,2,0)</f>
        <v>PET Green Flakes</v>
      </c>
      <c r="H8" s="4">
        <v>3320</v>
      </c>
      <c r="I8" s="4" t="s">
        <v>9</v>
      </c>
    </row>
    <row r="9" spans="2:9">
      <c r="B9" s="4" t="s">
        <v>358</v>
      </c>
      <c r="C9" s="3">
        <f t="shared" si="0"/>
        <v>45664</v>
      </c>
      <c r="D9" s="4" t="s">
        <v>45</v>
      </c>
      <c r="E9" s="5" t="s">
        <v>25</v>
      </c>
      <c r="F9" s="4" t="s">
        <v>26</v>
      </c>
      <c r="G9" s="5" t="str">
        <f>VLOOKUP(F9,'Master Kode'!$B$3:$D$13,2,0)</f>
        <v>HDPE Blue Drum Flakes</v>
      </c>
      <c r="H9" s="4">
        <v>1450</v>
      </c>
      <c r="I9" s="4" t="s">
        <v>9</v>
      </c>
    </row>
    <row r="10" spans="2:9">
      <c r="B10" s="4" t="s">
        <v>359</v>
      </c>
      <c r="C10" s="3">
        <f t="shared" si="0"/>
        <v>45665</v>
      </c>
      <c r="D10" s="4" t="s">
        <v>46</v>
      </c>
      <c r="E10" s="5" t="s">
        <v>6</v>
      </c>
      <c r="F10" s="4" t="s">
        <v>28</v>
      </c>
      <c r="G10" s="5" t="str">
        <f>VLOOKUP(F10,'Master Kode'!$B$3:$D$13,2,0)</f>
        <v>PET Mixed Color Flakes</v>
      </c>
      <c r="H10" s="4">
        <v>2100</v>
      </c>
      <c r="I10" s="4" t="s">
        <v>9</v>
      </c>
    </row>
    <row r="11" spans="2:9">
      <c r="B11" s="4" t="s">
        <v>360</v>
      </c>
      <c r="C11" s="3">
        <f t="shared" si="0"/>
        <v>45666</v>
      </c>
      <c r="D11" s="4" t="s">
        <v>47</v>
      </c>
      <c r="E11" s="5" t="s">
        <v>10</v>
      </c>
      <c r="F11" s="4" t="s">
        <v>30</v>
      </c>
      <c r="G11" s="5" t="str">
        <f>VLOOKUP(F11,'Master Kode'!$B$3:$D$13,2,0)</f>
        <v>PP White Flakes</v>
      </c>
      <c r="H11" s="4">
        <v>3980</v>
      </c>
      <c r="I11" s="4" t="s">
        <v>9</v>
      </c>
    </row>
    <row r="12" spans="2:9">
      <c r="B12" s="4" t="s">
        <v>361</v>
      </c>
      <c r="C12" s="3">
        <f t="shared" si="0"/>
        <v>45667</v>
      </c>
      <c r="D12" s="4" t="s">
        <v>48</v>
      </c>
      <c r="E12" s="5" t="s">
        <v>13</v>
      </c>
      <c r="F12" s="4" t="s">
        <v>32</v>
      </c>
      <c r="G12" s="5" t="str">
        <f>VLOOKUP(F12,'Master Kode'!$B$3:$D$13,2,0)</f>
        <v>HDPE Bottle Cap Flakes</v>
      </c>
      <c r="H12" s="4">
        <v>2560</v>
      </c>
      <c r="I12" s="4" t="s">
        <v>9</v>
      </c>
    </row>
    <row r="13" spans="2:9">
      <c r="B13" s="4" t="s">
        <v>362</v>
      </c>
      <c r="C13" s="3">
        <f t="shared" si="0"/>
        <v>45668</v>
      </c>
      <c r="D13" s="4" t="s">
        <v>49</v>
      </c>
      <c r="E13" s="5" t="s">
        <v>16</v>
      </c>
      <c r="F13" s="4" t="s">
        <v>34</v>
      </c>
      <c r="G13" s="5" t="str">
        <f>VLOOKUP(F13,'Master Kode'!$B$3:$D$13,2,0)</f>
        <v>PET Hot Washed Flakes</v>
      </c>
      <c r="H13" s="4">
        <v>3175</v>
      </c>
      <c r="I13" s="4" t="s">
        <v>9</v>
      </c>
    </row>
    <row r="14" spans="2:9">
      <c r="B14" s="4" t="s">
        <v>363</v>
      </c>
      <c r="C14" s="3">
        <f t="shared" si="0"/>
        <v>45669</v>
      </c>
      <c r="D14" s="4" t="s">
        <v>50</v>
      </c>
      <c r="E14" s="5" t="s">
        <v>19</v>
      </c>
      <c r="F14" s="4" t="s">
        <v>7</v>
      </c>
      <c r="G14" s="5" t="str">
        <f>VLOOKUP(F14,'Master Kode'!$B$3:$D$13,2,0)</f>
        <v>PET Clear Flakes</v>
      </c>
      <c r="H14" s="4">
        <v>1875</v>
      </c>
      <c r="I14" s="4" t="s">
        <v>9</v>
      </c>
    </row>
    <row r="15" spans="2:9">
      <c r="B15" s="4" t="s">
        <v>364</v>
      </c>
      <c r="C15" s="3">
        <f t="shared" si="0"/>
        <v>45670</v>
      </c>
      <c r="D15" s="4" t="s">
        <v>51</v>
      </c>
      <c r="E15" s="5" t="s">
        <v>22</v>
      </c>
      <c r="F15" s="4" t="s">
        <v>11</v>
      </c>
      <c r="G15" s="5" t="str">
        <f>VLOOKUP(F15,'Master Kode'!$B$3:$D$13,2,0)</f>
        <v>PET Blue Flakes</v>
      </c>
      <c r="H15" s="4">
        <v>2250</v>
      </c>
      <c r="I15" s="4" t="s">
        <v>9</v>
      </c>
    </row>
    <row r="16" spans="2:9">
      <c r="B16" s="4" t="s">
        <v>365</v>
      </c>
      <c r="C16" s="3">
        <f t="shared" si="0"/>
        <v>45671</v>
      </c>
      <c r="D16" s="4" t="s">
        <v>52</v>
      </c>
      <c r="E16" s="5" t="s">
        <v>25</v>
      </c>
      <c r="F16" s="4" t="s">
        <v>14</v>
      </c>
      <c r="G16" s="5" t="str">
        <f>VLOOKUP(F16,'Master Kode'!$B$3:$D$13,2,0)</f>
        <v>HDPE Natural Flakes</v>
      </c>
      <c r="H16" s="4">
        <v>1650</v>
      </c>
      <c r="I16" s="4" t="s">
        <v>9</v>
      </c>
    </row>
    <row r="17" spans="2:9">
      <c r="B17" s="4" t="s">
        <v>366</v>
      </c>
      <c r="C17" s="3">
        <f t="shared" si="0"/>
        <v>45672</v>
      </c>
      <c r="D17" s="4" t="s">
        <v>53</v>
      </c>
      <c r="E17" s="5" t="s">
        <v>6</v>
      </c>
      <c r="F17" s="4" t="s">
        <v>17</v>
      </c>
      <c r="G17" s="5" t="str">
        <f>VLOOKUP(F17,'Master Kode'!$B$3:$D$13,2,0)</f>
        <v>HDPE Mixed Color Flakes</v>
      </c>
      <c r="H17" s="4">
        <v>2890</v>
      </c>
      <c r="I17" s="4" t="s">
        <v>9</v>
      </c>
    </row>
    <row r="18" spans="2:9">
      <c r="B18" s="4" t="s">
        <v>367</v>
      </c>
      <c r="C18" s="3">
        <f t="shared" si="0"/>
        <v>45673</v>
      </c>
      <c r="D18" s="4" t="s">
        <v>54</v>
      </c>
      <c r="E18" s="5" t="s">
        <v>10</v>
      </c>
      <c r="F18" s="4" t="s">
        <v>20</v>
      </c>
      <c r="G18" s="5" t="str">
        <f>VLOOKUP(F18,'Master Kode'!$B$3:$D$13,2,0)</f>
        <v>PP Injection Flakes</v>
      </c>
      <c r="H18" s="4">
        <v>3200</v>
      </c>
      <c r="I18" s="4" t="s">
        <v>9</v>
      </c>
    </row>
    <row r="19" spans="2:9">
      <c r="B19" s="4" t="s">
        <v>368</v>
      </c>
      <c r="C19" s="3">
        <f t="shared" si="0"/>
        <v>45674</v>
      </c>
      <c r="D19" s="4" t="s">
        <v>55</v>
      </c>
      <c r="E19" s="5" t="s">
        <v>13</v>
      </c>
      <c r="F19" s="4" t="s">
        <v>23</v>
      </c>
      <c r="G19" s="5" t="str">
        <f>VLOOKUP(F19,'Master Kode'!$B$3:$D$13,2,0)</f>
        <v>PET Green Flakes</v>
      </c>
      <c r="H19" s="4">
        <v>1425</v>
      </c>
      <c r="I19" s="4" t="s">
        <v>9</v>
      </c>
    </row>
    <row r="20" spans="2:9">
      <c r="B20" s="4" t="s">
        <v>369</v>
      </c>
      <c r="C20" s="3">
        <f t="shared" si="0"/>
        <v>45675</v>
      </c>
      <c r="D20" s="4" t="s">
        <v>56</v>
      </c>
      <c r="E20" s="5" t="s">
        <v>16</v>
      </c>
      <c r="F20" s="4" t="s">
        <v>26</v>
      </c>
      <c r="G20" s="5" t="str">
        <f>VLOOKUP(F20,'Master Kode'!$B$3:$D$13,2,0)</f>
        <v>HDPE Blue Drum Flakes</v>
      </c>
      <c r="H20" s="4">
        <v>2780</v>
      </c>
      <c r="I20" s="4" t="s">
        <v>9</v>
      </c>
    </row>
    <row r="21" spans="2:9">
      <c r="B21" s="4" t="s">
        <v>370</v>
      </c>
      <c r="C21" s="3">
        <f t="shared" si="0"/>
        <v>45676</v>
      </c>
      <c r="D21" s="4" t="s">
        <v>57</v>
      </c>
      <c r="E21" s="5" t="s">
        <v>19</v>
      </c>
      <c r="F21" s="4" t="s">
        <v>28</v>
      </c>
      <c r="G21" s="5" t="str">
        <f>VLOOKUP(F21,'Master Kode'!$B$3:$D$13,2,0)</f>
        <v>PET Mixed Color Flakes</v>
      </c>
      <c r="H21" s="4">
        <v>3340</v>
      </c>
      <c r="I21" s="4" t="s">
        <v>9</v>
      </c>
    </row>
    <row r="22" spans="2:9">
      <c r="B22" s="4" t="s">
        <v>371</v>
      </c>
      <c r="C22" s="3">
        <f t="shared" si="0"/>
        <v>45677</v>
      </c>
      <c r="D22" s="4" t="s">
        <v>58</v>
      </c>
      <c r="E22" s="5" t="s">
        <v>22</v>
      </c>
      <c r="F22" s="4" t="s">
        <v>30</v>
      </c>
      <c r="G22" s="5" t="str">
        <f>VLOOKUP(F22,'Master Kode'!$B$3:$D$13,2,0)</f>
        <v>PP White Flakes</v>
      </c>
      <c r="H22" s="4">
        <v>2450</v>
      </c>
      <c r="I22" s="4" t="s">
        <v>9</v>
      </c>
    </row>
    <row r="23" spans="2:9">
      <c r="B23" s="4" t="s">
        <v>372</v>
      </c>
      <c r="C23" s="3">
        <f t="shared" si="0"/>
        <v>45679</v>
      </c>
      <c r="D23" s="4" t="s">
        <v>59</v>
      </c>
      <c r="E23" s="5" t="s">
        <v>25</v>
      </c>
      <c r="F23" s="4" t="s">
        <v>32</v>
      </c>
      <c r="G23" s="5" t="str">
        <f>VLOOKUP(F23,'Master Kode'!$B$3:$D$13,2,0)</f>
        <v>HDPE Bottle Cap Flakes</v>
      </c>
      <c r="H23" s="4">
        <v>1870</v>
      </c>
      <c r="I23" s="4" t="s">
        <v>9</v>
      </c>
    </row>
    <row r="24" spans="2:9">
      <c r="B24" s="4" t="s">
        <v>373</v>
      </c>
      <c r="C24" s="3">
        <f t="shared" si="0"/>
        <v>45681</v>
      </c>
      <c r="D24" s="4" t="s">
        <v>60</v>
      </c>
      <c r="E24" s="5" t="s">
        <v>6</v>
      </c>
      <c r="F24" s="4" t="s">
        <v>34</v>
      </c>
      <c r="G24" s="5" t="str">
        <f>VLOOKUP(F24,'Master Kode'!$B$3:$D$13,2,0)</f>
        <v>PET Hot Washed Flakes</v>
      </c>
      <c r="H24" s="4">
        <v>2990</v>
      </c>
      <c r="I24" s="4" t="s">
        <v>9</v>
      </c>
    </row>
    <row r="25" spans="2:9">
      <c r="B25" s="4" t="s">
        <v>374</v>
      </c>
      <c r="C25" s="3">
        <f t="shared" si="0"/>
        <v>45683</v>
      </c>
      <c r="D25" s="4" t="s">
        <v>61</v>
      </c>
      <c r="E25" s="5" t="s">
        <v>10</v>
      </c>
      <c r="F25" s="4" t="s">
        <v>11</v>
      </c>
      <c r="G25" s="5" t="str">
        <f>VLOOKUP(F25,'Master Kode'!$B$3:$D$13,2,0)</f>
        <v>PET Blue Flakes</v>
      </c>
      <c r="H25" s="4">
        <v>2150</v>
      </c>
      <c r="I25" s="4" t="s">
        <v>9</v>
      </c>
    </row>
    <row r="26" spans="2:9">
      <c r="B26" s="4" t="s">
        <v>375</v>
      </c>
      <c r="C26" s="3">
        <f t="shared" si="0"/>
        <v>45686</v>
      </c>
      <c r="D26" s="4" t="s">
        <v>62</v>
      </c>
      <c r="E26" s="5" t="s">
        <v>13</v>
      </c>
      <c r="F26" s="4" t="s">
        <v>14</v>
      </c>
      <c r="G26" s="5" t="str">
        <f>VLOOKUP(F26,'Master Kode'!$B$3:$D$13,2,0)</f>
        <v>HDPE Natural Flakes</v>
      </c>
      <c r="H26" s="4">
        <v>1980</v>
      </c>
      <c r="I26" s="4" t="s">
        <v>9</v>
      </c>
    </row>
    <row r="27" spans="2:9">
      <c r="B27" s="4" t="s">
        <v>466</v>
      </c>
      <c r="C27" s="3">
        <f t="shared" si="0"/>
        <v>45689</v>
      </c>
      <c r="D27" s="4" t="s">
        <v>63</v>
      </c>
      <c r="E27" s="5" t="s">
        <v>16</v>
      </c>
      <c r="F27" s="4" t="s">
        <v>17</v>
      </c>
      <c r="G27" s="5" t="str">
        <f>VLOOKUP(F27,'Master Kode'!$B$3:$D$13,2,0)</f>
        <v>HDPE Mixed Color Flakes</v>
      </c>
      <c r="H27" s="4">
        <v>3100</v>
      </c>
      <c r="I27" s="4" t="s">
        <v>9</v>
      </c>
    </row>
    <row r="28" spans="2:9">
      <c r="B28" s="4" t="s">
        <v>467</v>
      </c>
      <c r="C28" s="3">
        <f t="shared" si="0"/>
        <v>45691</v>
      </c>
      <c r="D28" s="4" t="s">
        <v>64</v>
      </c>
      <c r="E28" s="5" t="s">
        <v>6</v>
      </c>
      <c r="F28" s="4" t="s">
        <v>7</v>
      </c>
      <c r="G28" s="5" t="str">
        <f>VLOOKUP(F28,'Master Kode'!$B$3:$D$13,2,0)</f>
        <v>PET Clear Flakes</v>
      </c>
      <c r="H28" s="4">
        <v>2400</v>
      </c>
      <c r="I28" s="4" t="s">
        <v>9</v>
      </c>
    </row>
    <row r="29" spans="2:9">
      <c r="B29" s="4" t="s">
        <v>468</v>
      </c>
      <c r="C29" s="3">
        <f t="shared" si="0"/>
        <v>45692</v>
      </c>
      <c r="D29" s="4" t="s">
        <v>65</v>
      </c>
      <c r="E29" s="5" t="s">
        <v>10</v>
      </c>
      <c r="F29" s="4" t="s">
        <v>14</v>
      </c>
      <c r="G29" s="5" t="str">
        <f>VLOOKUP(F29,'Master Kode'!$B$3:$D$13,2,0)</f>
        <v>HDPE Natural Flakes</v>
      </c>
      <c r="H29" s="4">
        <v>1850</v>
      </c>
      <c r="I29" s="4" t="s">
        <v>9</v>
      </c>
    </row>
    <row r="30" spans="2:9">
      <c r="B30" s="4" t="s">
        <v>469</v>
      </c>
      <c r="C30" s="3">
        <f t="shared" si="0"/>
        <v>45693</v>
      </c>
      <c r="D30" s="4" t="s">
        <v>66</v>
      </c>
      <c r="E30" s="5" t="s">
        <v>16</v>
      </c>
      <c r="F30" s="4" t="s">
        <v>11</v>
      </c>
      <c r="G30" s="5" t="str">
        <f>VLOOKUP(F30,'Master Kode'!$B$3:$D$13,2,0)</f>
        <v>PET Blue Flakes</v>
      </c>
      <c r="H30" s="4">
        <v>3150</v>
      </c>
      <c r="I30" s="4" t="s">
        <v>9</v>
      </c>
    </row>
    <row r="31" spans="2:9">
      <c r="B31" s="4" t="s">
        <v>470</v>
      </c>
      <c r="C31" s="3">
        <f t="shared" si="0"/>
        <v>45693</v>
      </c>
      <c r="D31" s="4" t="s">
        <v>67</v>
      </c>
      <c r="E31" s="5" t="s">
        <v>19</v>
      </c>
      <c r="F31" s="4" t="s">
        <v>20</v>
      </c>
      <c r="G31" s="5" t="str">
        <f>VLOOKUP(F31,'Master Kode'!$B$3:$D$13,2,0)</f>
        <v>PP Injection Flakes</v>
      </c>
      <c r="H31" s="4">
        <v>2950</v>
      </c>
      <c r="I31" s="4" t="s">
        <v>9</v>
      </c>
    </row>
    <row r="32" spans="2:9">
      <c r="B32" s="4" t="s">
        <v>471</v>
      </c>
      <c r="C32" s="3">
        <f t="shared" si="0"/>
        <v>45694</v>
      </c>
      <c r="D32" s="4" t="s">
        <v>68</v>
      </c>
      <c r="E32" s="5" t="s">
        <v>22</v>
      </c>
      <c r="F32" s="4" t="s">
        <v>23</v>
      </c>
      <c r="G32" s="5" t="str">
        <f>VLOOKUP(F32,'Master Kode'!$B$3:$D$13,2,0)</f>
        <v>PET Green Flakes</v>
      </c>
      <c r="H32" s="4">
        <v>1700</v>
      </c>
      <c r="I32" s="4" t="s">
        <v>9</v>
      </c>
    </row>
    <row r="33" spans="2:9">
      <c r="B33" s="4" t="s">
        <v>472</v>
      </c>
      <c r="C33" s="3">
        <f t="shared" si="0"/>
        <v>45694</v>
      </c>
      <c r="D33" s="4" t="s">
        <v>69</v>
      </c>
      <c r="E33" s="5" t="s">
        <v>13</v>
      </c>
      <c r="F33" s="4" t="s">
        <v>17</v>
      </c>
      <c r="G33" s="5" t="str">
        <f>VLOOKUP(F33,'Master Kode'!$B$3:$D$13,2,0)</f>
        <v>HDPE Mixed Color Flakes</v>
      </c>
      <c r="H33" s="4">
        <v>2650</v>
      </c>
      <c r="I33" s="4" t="s">
        <v>9</v>
      </c>
    </row>
    <row r="34" spans="2:9">
      <c r="B34" s="4" t="s">
        <v>473</v>
      </c>
      <c r="C34" s="3">
        <f t="shared" si="0"/>
        <v>45695</v>
      </c>
      <c r="D34" s="4" t="s">
        <v>70</v>
      </c>
      <c r="E34" s="5" t="s">
        <v>25</v>
      </c>
      <c r="F34" s="4" t="s">
        <v>26</v>
      </c>
      <c r="G34" s="5" t="str">
        <f>VLOOKUP(F34,'Master Kode'!$B$3:$D$13,2,0)</f>
        <v>HDPE Blue Drum Flakes</v>
      </c>
      <c r="H34" s="4">
        <v>1425</v>
      </c>
      <c r="I34" s="4" t="s">
        <v>9</v>
      </c>
    </row>
    <row r="35" spans="2:9">
      <c r="B35" s="4" t="s">
        <v>474</v>
      </c>
      <c r="C35" s="3">
        <f t="shared" si="0"/>
        <v>45695</v>
      </c>
      <c r="D35" s="4" t="s">
        <v>71</v>
      </c>
      <c r="E35" s="5" t="s">
        <v>10</v>
      </c>
      <c r="F35" s="4" t="s">
        <v>28</v>
      </c>
      <c r="G35" s="5" t="str">
        <f>VLOOKUP(F35,'Master Kode'!$B$3:$D$13,2,0)</f>
        <v>PET Mixed Color Flakes</v>
      </c>
      <c r="H35" s="4">
        <v>3350</v>
      </c>
      <c r="I35" s="4" t="s">
        <v>9</v>
      </c>
    </row>
    <row r="36" spans="2:9">
      <c r="B36" s="4" t="s">
        <v>475</v>
      </c>
      <c r="C36" s="3">
        <f t="shared" si="0"/>
        <v>45696</v>
      </c>
      <c r="D36" s="4" t="s">
        <v>72</v>
      </c>
      <c r="E36" s="5" t="s">
        <v>6</v>
      </c>
      <c r="F36" s="4" t="s">
        <v>7</v>
      </c>
      <c r="G36" s="5" t="str">
        <f>VLOOKUP(F36,'Master Kode'!$B$3:$D$13,2,0)</f>
        <v>PET Clear Flakes</v>
      </c>
      <c r="H36" s="4">
        <v>2100</v>
      </c>
      <c r="I36" s="4" t="s">
        <v>9</v>
      </c>
    </row>
    <row r="37" spans="2:9">
      <c r="B37" s="4" t="s">
        <v>476</v>
      </c>
      <c r="C37" s="3">
        <f t="shared" si="0"/>
        <v>45696</v>
      </c>
      <c r="D37" s="4" t="s">
        <v>73</v>
      </c>
      <c r="E37" s="5" t="s">
        <v>16</v>
      </c>
      <c r="F37" s="4" t="s">
        <v>34</v>
      </c>
      <c r="G37" s="5" t="str">
        <f>VLOOKUP(F37,'Master Kode'!$B$3:$D$13,2,0)</f>
        <v>PET Hot Washed Flakes</v>
      </c>
      <c r="H37" s="4">
        <v>3900</v>
      </c>
      <c r="I37" s="4" t="s">
        <v>9</v>
      </c>
    </row>
    <row r="38" spans="2:9">
      <c r="B38" s="4" t="s">
        <v>477</v>
      </c>
      <c r="C38" s="3">
        <f t="shared" si="0"/>
        <v>45697</v>
      </c>
      <c r="D38" s="4" t="s">
        <v>74</v>
      </c>
      <c r="E38" s="5" t="s">
        <v>19</v>
      </c>
      <c r="F38" s="4" t="s">
        <v>30</v>
      </c>
      <c r="G38" s="5" t="str">
        <f>VLOOKUP(F38,'Master Kode'!$B$3:$D$13,2,0)</f>
        <v>PP White Flakes</v>
      </c>
      <c r="H38" s="4">
        <v>2500</v>
      </c>
      <c r="I38" s="4" t="s">
        <v>9</v>
      </c>
    </row>
    <row r="39" spans="2:9">
      <c r="B39" s="4" t="s">
        <v>478</v>
      </c>
      <c r="C39" s="3">
        <f t="shared" si="0"/>
        <v>45697</v>
      </c>
      <c r="D39" s="4" t="s">
        <v>75</v>
      </c>
      <c r="E39" s="5" t="s">
        <v>22</v>
      </c>
      <c r="F39" s="4" t="s">
        <v>14</v>
      </c>
      <c r="G39" s="5" t="str">
        <f>VLOOKUP(F39,'Master Kode'!$B$3:$D$13,2,0)</f>
        <v>HDPE Natural Flakes</v>
      </c>
      <c r="H39" s="4">
        <v>1780</v>
      </c>
      <c r="I39" s="4" t="s">
        <v>9</v>
      </c>
    </row>
    <row r="40" spans="2:9">
      <c r="B40" s="4" t="s">
        <v>479</v>
      </c>
      <c r="C40" s="3">
        <f t="shared" si="0"/>
        <v>45698</v>
      </c>
      <c r="D40" s="4" t="s">
        <v>76</v>
      </c>
      <c r="E40" s="5" t="s">
        <v>13</v>
      </c>
      <c r="F40" s="4" t="s">
        <v>11</v>
      </c>
      <c r="G40" s="5" t="str">
        <f>VLOOKUP(F40,'Master Kode'!$B$3:$D$13,2,0)</f>
        <v>PET Blue Flakes</v>
      </c>
      <c r="H40" s="4">
        <v>3200</v>
      </c>
      <c r="I40" s="4" t="s">
        <v>9</v>
      </c>
    </row>
    <row r="41" spans="2:9">
      <c r="B41" s="4" t="s">
        <v>480</v>
      </c>
      <c r="C41" s="3">
        <f t="shared" si="0"/>
        <v>45698</v>
      </c>
      <c r="D41" s="4" t="s">
        <v>77</v>
      </c>
      <c r="E41" s="5" t="s">
        <v>10</v>
      </c>
      <c r="F41" s="4" t="s">
        <v>7</v>
      </c>
      <c r="G41" s="5" t="str">
        <f>VLOOKUP(F41,'Master Kode'!$B$3:$D$13,2,0)</f>
        <v>PET Clear Flakes</v>
      </c>
      <c r="H41" s="4">
        <v>2980</v>
      </c>
      <c r="I41" s="4" t="s">
        <v>9</v>
      </c>
    </row>
    <row r="42" spans="2:9">
      <c r="B42" s="4" t="s">
        <v>481</v>
      </c>
      <c r="C42" s="3">
        <f t="shared" si="0"/>
        <v>45699</v>
      </c>
      <c r="D42" s="4" t="s">
        <v>78</v>
      </c>
      <c r="E42" s="5" t="s">
        <v>25</v>
      </c>
      <c r="F42" s="4" t="s">
        <v>17</v>
      </c>
      <c r="G42" s="5" t="str">
        <f>VLOOKUP(F42,'Master Kode'!$B$3:$D$13,2,0)</f>
        <v>HDPE Mixed Color Flakes</v>
      </c>
      <c r="H42" s="4">
        <v>2300</v>
      </c>
      <c r="I42" s="4" t="s">
        <v>9</v>
      </c>
    </row>
    <row r="43" spans="2:9">
      <c r="B43" s="4" t="s">
        <v>482</v>
      </c>
      <c r="C43" s="3">
        <f t="shared" si="0"/>
        <v>45699</v>
      </c>
      <c r="D43" s="4" t="s">
        <v>79</v>
      </c>
      <c r="E43" s="5" t="s">
        <v>16</v>
      </c>
      <c r="F43" s="4" t="s">
        <v>23</v>
      </c>
      <c r="G43" s="5" t="str">
        <f>VLOOKUP(F43,'Master Kode'!$B$3:$D$13,2,0)</f>
        <v>PET Green Flakes</v>
      </c>
      <c r="H43" s="4">
        <v>3100</v>
      </c>
      <c r="I43" s="4" t="s">
        <v>9</v>
      </c>
    </row>
    <row r="44" spans="2:9">
      <c r="B44" s="4" t="s">
        <v>483</v>
      </c>
      <c r="C44" s="3">
        <f t="shared" si="0"/>
        <v>45700</v>
      </c>
      <c r="D44" s="4" t="s">
        <v>80</v>
      </c>
      <c r="E44" s="5" t="s">
        <v>6</v>
      </c>
      <c r="F44" s="4" t="s">
        <v>32</v>
      </c>
      <c r="G44" s="5" t="str">
        <f>VLOOKUP(F44,'Master Kode'!$B$3:$D$13,2,0)</f>
        <v>HDPE Bottle Cap Flakes</v>
      </c>
      <c r="H44" s="4">
        <v>1600</v>
      </c>
      <c r="I44" s="4" t="s">
        <v>9</v>
      </c>
    </row>
    <row r="45" spans="2:9">
      <c r="B45" s="4" t="s">
        <v>484</v>
      </c>
      <c r="C45" s="3">
        <f t="shared" si="0"/>
        <v>45700</v>
      </c>
      <c r="D45" s="4" t="s">
        <v>81</v>
      </c>
      <c r="E45" s="5" t="s">
        <v>19</v>
      </c>
      <c r="F45" s="4" t="s">
        <v>20</v>
      </c>
      <c r="G45" s="5" t="str">
        <f>VLOOKUP(F45,'Master Kode'!$B$3:$D$13,2,0)</f>
        <v>PP Injection Flakes</v>
      </c>
      <c r="H45" s="4">
        <v>2750</v>
      </c>
      <c r="I45" s="4" t="s">
        <v>9</v>
      </c>
    </row>
    <row r="46" spans="2:9">
      <c r="B46" s="4" t="s">
        <v>485</v>
      </c>
      <c r="C46" s="3">
        <f t="shared" si="0"/>
        <v>45701</v>
      </c>
      <c r="D46" s="4" t="s">
        <v>82</v>
      </c>
      <c r="E46" s="5" t="s">
        <v>10</v>
      </c>
      <c r="F46" s="4" t="s">
        <v>34</v>
      </c>
      <c r="G46" s="5" t="str">
        <f>VLOOKUP(F46,'Master Kode'!$B$3:$D$13,2,0)</f>
        <v>PET Hot Washed Flakes</v>
      </c>
      <c r="H46" s="4">
        <v>3550</v>
      </c>
      <c r="I46" s="4" t="s">
        <v>9</v>
      </c>
    </row>
    <row r="47" spans="2:9">
      <c r="B47" s="4" t="s">
        <v>486</v>
      </c>
      <c r="C47" s="3">
        <f t="shared" si="0"/>
        <v>45701</v>
      </c>
      <c r="D47" s="4" t="s">
        <v>83</v>
      </c>
      <c r="E47" s="5" t="s">
        <v>22</v>
      </c>
      <c r="F47" s="4" t="s">
        <v>11</v>
      </c>
      <c r="G47" s="5" t="str">
        <f>VLOOKUP(F47,'Master Kode'!$B$3:$D$13,2,0)</f>
        <v>PET Blue Flakes</v>
      </c>
      <c r="H47" s="4">
        <v>2900</v>
      </c>
      <c r="I47" s="4" t="s">
        <v>9</v>
      </c>
    </row>
    <row r="48" spans="2:9">
      <c r="B48" s="4" t="s">
        <v>487</v>
      </c>
      <c r="C48" s="3">
        <f t="shared" si="0"/>
        <v>45702</v>
      </c>
      <c r="D48" s="4" t="s">
        <v>84</v>
      </c>
      <c r="E48" s="5" t="s">
        <v>13</v>
      </c>
      <c r="F48" s="4" t="s">
        <v>30</v>
      </c>
      <c r="G48" s="5" t="str">
        <f>VLOOKUP(F48,'Master Kode'!$B$3:$D$13,2,0)</f>
        <v>PP White Flakes</v>
      </c>
      <c r="H48" s="4">
        <v>2600</v>
      </c>
      <c r="I48" s="4" t="s">
        <v>9</v>
      </c>
    </row>
    <row r="49" spans="2:9">
      <c r="B49" s="4" t="s">
        <v>488</v>
      </c>
      <c r="C49" s="3">
        <f t="shared" si="0"/>
        <v>45703</v>
      </c>
      <c r="D49" s="4" t="s">
        <v>85</v>
      </c>
      <c r="E49" s="5" t="s">
        <v>16</v>
      </c>
      <c r="F49" s="4" t="s">
        <v>17</v>
      </c>
      <c r="G49" s="5" t="str">
        <f>VLOOKUP(F49,'Master Kode'!$B$3:$D$13,2,0)</f>
        <v>HDPE Mixed Color Flakes</v>
      </c>
      <c r="H49" s="4">
        <v>3450</v>
      </c>
      <c r="I49" s="4" t="s">
        <v>9</v>
      </c>
    </row>
    <row r="50" spans="2:9">
      <c r="B50" s="4" t="s">
        <v>489</v>
      </c>
      <c r="C50" s="3">
        <f t="shared" si="0"/>
        <v>45704</v>
      </c>
      <c r="D50" s="4" t="s">
        <v>86</v>
      </c>
      <c r="E50" s="5" t="s">
        <v>25</v>
      </c>
      <c r="F50" s="4" t="s">
        <v>26</v>
      </c>
      <c r="G50" s="5" t="str">
        <f>VLOOKUP(F50,'Master Kode'!$B$3:$D$13,2,0)</f>
        <v>HDPE Blue Drum Flakes</v>
      </c>
      <c r="H50" s="4">
        <v>1750</v>
      </c>
      <c r="I50" s="4" t="s">
        <v>9</v>
      </c>
    </row>
    <row r="51" spans="2:9">
      <c r="B51" s="4" t="s">
        <v>490</v>
      </c>
      <c r="C51" s="3">
        <f t="shared" si="0"/>
        <v>45705</v>
      </c>
      <c r="D51" s="4" t="s">
        <v>87</v>
      </c>
      <c r="E51" s="5" t="s">
        <v>19</v>
      </c>
      <c r="F51" s="4" t="s">
        <v>28</v>
      </c>
      <c r="G51" s="5" t="str">
        <f>VLOOKUP(F51,'Master Kode'!$B$3:$D$13,2,0)</f>
        <v>PET Mixed Color Flakes</v>
      </c>
      <c r="H51" s="4">
        <v>3050</v>
      </c>
      <c r="I51" s="4" t="s">
        <v>9</v>
      </c>
    </row>
    <row r="52" spans="2:9">
      <c r="B52" s="4" t="s">
        <v>491</v>
      </c>
      <c r="C52" s="3">
        <f t="shared" si="0"/>
        <v>45706</v>
      </c>
      <c r="D52" s="4" t="s">
        <v>88</v>
      </c>
      <c r="E52" s="5" t="s">
        <v>6</v>
      </c>
      <c r="F52" s="4" t="s">
        <v>7</v>
      </c>
      <c r="G52" s="5" t="str">
        <f>VLOOKUP(F52,'Master Kode'!$B$3:$D$13,2,0)</f>
        <v>PET Clear Flakes</v>
      </c>
      <c r="H52" s="4">
        <v>2850</v>
      </c>
      <c r="I52" s="4" t="s">
        <v>9</v>
      </c>
    </row>
    <row r="53" spans="2:9">
      <c r="B53" s="4" t="s">
        <v>376</v>
      </c>
      <c r="C53" s="3">
        <f t="shared" si="0"/>
        <v>45719</v>
      </c>
      <c r="D53" s="4" t="s">
        <v>89</v>
      </c>
      <c r="E53" s="5" t="s">
        <v>6</v>
      </c>
      <c r="F53" s="4" t="s">
        <v>7</v>
      </c>
      <c r="G53" s="5" t="str">
        <f>VLOOKUP(F53,'Master Kode'!$B$3:$D$13,2,0)</f>
        <v>PET Clear Flakes</v>
      </c>
      <c r="H53" s="4">
        <v>2100</v>
      </c>
      <c r="I53" s="4" t="s">
        <v>9</v>
      </c>
    </row>
    <row r="54" spans="2:9">
      <c r="B54" s="4" t="s">
        <v>377</v>
      </c>
      <c r="C54" s="3">
        <f t="shared" si="0"/>
        <v>45720</v>
      </c>
      <c r="D54" s="4" t="s">
        <v>90</v>
      </c>
      <c r="E54" s="5" t="s">
        <v>10</v>
      </c>
      <c r="F54" s="4" t="s">
        <v>11</v>
      </c>
      <c r="G54" s="5" t="str">
        <f>VLOOKUP(F54,'Master Kode'!$B$3:$D$13,2,0)</f>
        <v>PET Blue Flakes</v>
      </c>
      <c r="H54" s="4">
        <v>3200</v>
      </c>
      <c r="I54" s="4" t="s">
        <v>9</v>
      </c>
    </row>
    <row r="55" spans="2:9">
      <c r="B55" s="4" t="s">
        <v>378</v>
      </c>
      <c r="C55" s="3">
        <f t="shared" si="0"/>
        <v>45721</v>
      </c>
      <c r="D55" s="4" t="s">
        <v>91</v>
      </c>
      <c r="E55" s="5" t="s">
        <v>13</v>
      </c>
      <c r="F55" s="4" t="s">
        <v>14</v>
      </c>
      <c r="G55" s="5" t="str">
        <f>VLOOKUP(F55,'Master Kode'!$B$3:$D$13,2,0)</f>
        <v>HDPE Natural Flakes</v>
      </c>
      <c r="H55" s="4">
        <v>1850</v>
      </c>
      <c r="I55" s="4" t="s">
        <v>9</v>
      </c>
    </row>
    <row r="56" spans="2:9">
      <c r="B56" s="4" t="s">
        <v>379</v>
      </c>
      <c r="C56" s="3">
        <f t="shared" si="0"/>
        <v>45722</v>
      </c>
      <c r="D56" s="4" t="s">
        <v>92</v>
      </c>
      <c r="E56" s="5" t="s">
        <v>16</v>
      </c>
      <c r="F56" s="4" t="s">
        <v>17</v>
      </c>
      <c r="G56" s="5" t="str">
        <f>VLOOKUP(F56,'Master Kode'!$B$3:$D$13,2,0)</f>
        <v>HDPE Mixed Color Flakes</v>
      </c>
      <c r="H56" s="4">
        <v>2400</v>
      </c>
      <c r="I56" s="4" t="s">
        <v>9</v>
      </c>
    </row>
    <row r="57" spans="2:9">
      <c r="B57" s="4" t="s">
        <v>380</v>
      </c>
      <c r="C57" s="3">
        <f t="shared" si="0"/>
        <v>45722</v>
      </c>
      <c r="D57" s="4" t="s">
        <v>93</v>
      </c>
      <c r="E57" s="5" t="s">
        <v>19</v>
      </c>
      <c r="F57" s="4" t="s">
        <v>20</v>
      </c>
      <c r="G57" s="5" t="str">
        <f>VLOOKUP(F57,'Master Kode'!$B$3:$D$13,2,0)</f>
        <v>PP Injection Flakes</v>
      </c>
      <c r="H57" s="4">
        <v>2950</v>
      </c>
      <c r="I57" s="4" t="s">
        <v>9</v>
      </c>
    </row>
    <row r="58" spans="2:9">
      <c r="B58" s="4" t="s">
        <v>381</v>
      </c>
      <c r="C58" s="3">
        <f t="shared" si="0"/>
        <v>45723</v>
      </c>
      <c r="D58" s="4" t="s">
        <v>94</v>
      </c>
      <c r="E58" s="5" t="s">
        <v>22</v>
      </c>
      <c r="F58" s="4" t="s">
        <v>23</v>
      </c>
      <c r="G58" s="5" t="str">
        <f>VLOOKUP(F58,'Master Kode'!$B$3:$D$13,2,0)</f>
        <v>PET Green Flakes</v>
      </c>
      <c r="H58" s="4">
        <v>3100</v>
      </c>
      <c r="I58" s="4" t="s">
        <v>9</v>
      </c>
    </row>
    <row r="59" spans="2:9">
      <c r="B59" s="4" t="s">
        <v>382</v>
      </c>
      <c r="C59" s="3">
        <f t="shared" si="0"/>
        <v>45724</v>
      </c>
      <c r="D59" s="4" t="s">
        <v>95</v>
      </c>
      <c r="E59" s="5" t="s">
        <v>25</v>
      </c>
      <c r="F59" s="4" t="s">
        <v>26</v>
      </c>
      <c r="G59" s="5" t="str">
        <f>VLOOKUP(F59,'Master Kode'!$B$3:$D$13,2,0)</f>
        <v>HDPE Blue Drum Flakes</v>
      </c>
      <c r="H59" s="4">
        <v>1500</v>
      </c>
      <c r="I59" s="4" t="s">
        <v>9</v>
      </c>
    </row>
    <row r="60" spans="2:9">
      <c r="B60" s="4" t="s">
        <v>383</v>
      </c>
      <c r="C60" s="3">
        <f t="shared" si="0"/>
        <v>45724</v>
      </c>
      <c r="D60" s="4" t="s">
        <v>96</v>
      </c>
      <c r="E60" s="5" t="s">
        <v>6</v>
      </c>
      <c r="F60" s="4" t="s">
        <v>28</v>
      </c>
      <c r="G60" s="5" t="str">
        <f>VLOOKUP(F60,'Master Kode'!$B$3:$D$13,2,0)</f>
        <v>PET Mixed Color Flakes</v>
      </c>
      <c r="H60" s="4">
        <v>2700</v>
      </c>
      <c r="I60" s="4" t="s">
        <v>9</v>
      </c>
    </row>
    <row r="61" spans="2:9">
      <c r="B61" s="4" t="s">
        <v>384</v>
      </c>
      <c r="C61" s="3">
        <f t="shared" si="0"/>
        <v>45725</v>
      </c>
      <c r="D61" s="4" t="s">
        <v>97</v>
      </c>
      <c r="E61" s="5" t="s">
        <v>10</v>
      </c>
      <c r="F61" s="4" t="s">
        <v>30</v>
      </c>
      <c r="G61" s="5" t="str">
        <f>VLOOKUP(F61,'Master Kode'!$B$3:$D$13,2,0)</f>
        <v>PP White Flakes</v>
      </c>
      <c r="H61" s="4">
        <v>1980</v>
      </c>
      <c r="I61" s="4" t="s">
        <v>9</v>
      </c>
    </row>
    <row r="62" spans="2:9">
      <c r="B62" s="4" t="s">
        <v>385</v>
      </c>
      <c r="C62" s="3">
        <f t="shared" si="0"/>
        <v>45726</v>
      </c>
      <c r="D62" s="4" t="s">
        <v>98</v>
      </c>
      <c r="E62" s="5" t="s">
        <v>13</v>
      </c>
      <c r="F62" s="4" t="s">
        <v>34</v>
      </c>
      <c r="G62" s="5" t="str">
        <f>VLOOKUP(F62,'Master Kode'!$B$3:$D$13,2,0)</f>
        <v>PET Hot Washed Flakes</v>
      </c>
      <c r="H62" s="4">
        <v>3300</v>
      </c>
      <c r="I62" s="4" t="s">
        <v>9</v>
      </c>
    </row>
    <row r="63" spans="2:9">
      <c r="B63" s="4" t="s">
        <v>386</v>
      </c>
      <c r="C63" s="3">
        <f t="shared" si="0"/>
        <v>45727</v>
      </c>
      <c r="D63" s="4" t="s">
        <v>99</v>
      </c>
      <c r="E63" s="5" t="s">
        <v>16</v>
      </c>
      <c r="F63" s="4" t="s">
        <v>7</v>
      </c>
      <c r="G63" s="5" t="str">
        <f>VLOOKUP(F63,'Master Kode'!$B$3:$D$13,2,0)</f>
        <v>PET Clear Flakes</v>
      </c>
      <c r="H63" s="4">
        <v>2105</v>
      </c>
      <c r="I63" s="4" t="s">
        <v>9</v>
      </c>
    </row>
    <row r="64" spans="2:9">
      <c r="B64" s="4" t="s">
        <v>387</v>
      </c>
      <c r="C64" s="3">
        <f t="shared" si="0"/>
        <v>45728</v>
      </c>
      <c r="D64" s="4" t="s">
        <v>100</v>
      </c>
      <c r="E64" s="5" t="s">
        <v>19</v>
      </c>
      <c r="F64" s="4" t="s">
        <v>11</v>
      </c>
      <c r="G64" s="5" t="str">
        <f>VLOOKUP(F64,'Master Kode'!$B$3:$D$13,2,0)</f>
        <v>PET Blue Flakes</v>
      </c>
      <c r="H64" s="4">
        <v>2870</v>
      </c>
      <c r="I64" s="4" t="s">
        <v>9</v>
      </c>
    </row>
    <row r="65" spans="2:9">
      <c r="B65" s="4" t="s">
        <v>388</v>
      </c>
      <c r="C65" s="3">
        <f t="shared" si="0"/>
        <v>45729</v>
      </c>
      <c r="D65" s="4" t="s">
        <v>101</v>
      </c>
      <c r="E65" s="5" t="s">
        <v>22</v>
      </c>
      <c r="F65" s="4" t="s">
        <v>14</v>
      </c>
      <c r="G65" s="5" t="str">
        <f>VLOOKUP(F65,'Master Kode'!$B$3:$D$13,2,0)</f>
        <v>HDPE Natural Flakes</v>
      </c>
      <c r="H65" s="4">
        <v>2200</v>
      </c>
      <c r="I65" s="4" t="s">
        <v>9</v>
      </c>
    </row>
    <row r="66" spans="2:9">
      <c r="B66" s="4" t="s">
        <v>389</v>
      </c>
      <c r="C66" s="3">
        <f t="shared" si="0"/>
        <v>45730</v>
      </c>
      <c r="D66" s="4" t="s">
        <v>102</v>
      </c>
      <c r="E66" s="5" t="s">
        <v>25</v>
      </c>
      <c r="F66" s="4" t="s">
        <v>17</v>
      </c>
      <c r="G66" s="5" t="str">
        <f>VLOOKUP(F66,'Master Kode'!$B$3:$D$13,2,0)</f>
        <v>HDPE Mixed Color Flakes</v>
      </c>
      <c r="H66" s="4">
        <v>2500</v>
      </c>
      <c r="I66" s="4" t="s">
        <v>9</v>
      </c>
    </row>
    <row r="67" spans="2:9">
      <c r="B67" s="4" t="s">
        <v>390</v>
      </c>
      <c r="C67" s="3">
        <f t="shared" si="0"/>
        <v>45731</v>
      </c>
      <c r="D67" s="4" t="s">
        <v>103</v>
      </c>
      <c r="E67" s="5" t="s">
        <v>6</v>
      </c>
      <c r="F67" s="4" t="s">
        <v>20</v>
      </c>
      <c r="G67" s="5" t="str">
        <f>VLOOKUP(F67,'Master Kode'!$B$3:$D$13,2,0)</f>
        <v>PP Injection Flakes</v>
      </c>
      <c r="H67" s="4">
        <v>3100</v>
      </c>
      <c r="I67" s="4" t="s">
        <v>9</v>
      </c>
    </row>
    <row r="68" spans="2:9">
      <c r="B68" s="4" t="s">
        <v>391</v>
      </c>
      <c r="C68" s="3">
        <f t="shared" ref="C68:C131" si="1">DATE(2000+MID(B68,7,2),MID(B68,5,2),MID(B68,3,2))</f>
        <v>45732</v>
      </c>
      <c r="D68" s="4" t="s">
        <v>104</v>
      </c>
      <c r="E68" s="5" t="s">
        <v>10</v>
      </c>
      <c r="F68" s="4" t="s">
        <v>23</v>
      </c>
      <c r="G68" s="5" t="str">
        <f>VLOOKUP(F68,'Master Kode'!$B$3:$D$13,2,0)</f>
        <v>PET Green Flakes</v>
      </c>
      <c r="H68" s="4">
        <v>2900</v>
      </c>
      <c r="I68" s="4" t="s">
        <v>9</v>
      </c>
    </row>
    <row r="69" spans="2:9">
      <c r="B69" s="4" t="s">
        <v>392</v>
      </c>
      <c r="C69" s="3">
        <f t="shared" si="1"/>
        <v>45734</v>
      </c>
      <c r="D69" s="4" t="s">
        <v>105</v>
      </c>
      <c r="E69" s="5" t="s">
        <v>13</v>
      </c>
      <c r="F69" s="4" t="s">
        <v>26</v>
      </c>
      <c r="G69" s="5" t="str">
        <f>VLOOKUP(F69,'Master Kode'!$B$3:$D$13,2,0)</f>
        <v>HDPE Blue Drum Flakes</v>
      </c>
      <c r="H69" s="4">
        <v>1700</v>
      </c>
      <c r="I69" s="4" t="s">
        <v>9</v>
      </c>
    </row>
    <row r="70" spans="2:9">
      <c r="B70" s="4" t="s">
        <v>393</v>
      </c>
      <c r="C70" s="3">
        <f t="shared" si="1"/>
        <v>45735</v>
      </c>
      <c r="D70" s="4" t="s">
        <v>106</v>
      </c>
      <c r="E70" s="5" t="s">
        <v>16</v>
      </c>
      <c r="F70" s="4" t="s">
        <v>28</v>
      </c>
      <c r="G70" s="5" t="str">
        <f>VLOOKUP(F70,'Master Kode'!$B$3:$D$13,2,0)</f>
        <v>PET Mixed Color Flakes</v>
      </c>
      <c r="H70" s="4">
        <v>2600</v>
      </c>
      <c r="I70" s="4" t="s">
        <v>9</v>
      </c>
    </row>
    <row r="71" spans="2:9">
      <c r="B71" s="4" t="s">
        <v>394</v>
      </c>
      <c r="C71" s="3">
        <f t="shared" si="1"/>
        <v>45737</v>
      </c>
      <c r="D71" s="4" t="s">
        <v>107</v>
      </c>
      <c r="E71" s="5" t="s">
        <v>19</v>
      </c>
      <c r="F71" s="4" t="s">
        <v>30</v>
      </c>
      <c r="G71" s="5" t="str">
        <f>VLOOKUP(F71,'Master Kode'!$B$3:$D$13,2,0)</f>
        <v>PP White Flakes</v>
      </c>
      <c r="H71" s="4">
        <v>2400</v>
      </c>
      <c r="I71" s="4" t="s">
        <v>9</v>
      </c>
    </row>
    <row r="72" spans="2:9">
      <c r="B72" s="4" t="s">
        <v>395</v>
      </c>
      <c r="C72" s="3">
        <f t="shared" si="1"/>
        <v>45739</v>
      </c>
      <c r="D72" s="4" t="s">
        <v>108</v>
      </c>
      <c r="E72" s="5" t="s">
        <v>22</v>
      </c>
      <c r="F72" s="4" t="s">
        <v>7</v>
      </c>
      <c r="G72" s="5" t="str">
        <f>VLOOKUP(F72,'Master Kode'!$B$3:$D$13,2,0)</f>
        <v>PET Clear Flakes</v>
      </c>
      <c r="H72" s="4">
        <v>3100</v>
      </c>
      <c r="I72" s="4" t="s">
        <v>9</v>
      </c>
    </row>
    <row r="73" spans="2:9">
      <c r="B73" s="4" t="s">
        <v>396</v>
      </c>
      <c r="C73" s="3">
        <f t="shared" si="1"/>
        <v>45740</v>
      </c>
      <c r="D73" s="4" t="s">
        <v>109</v>
      </c>
      <c r="E73" s="5" t="s">
        <v>25</v>
      </c>
      <c r="F73" s="4" t="s">
        <v>14</v>
      </c>
      <c r="G73" s="5" t="str">
        <f>VLOOKUP(F73,'Master Kode'!$B$3:$D$13,2,0)</f>
        <v>HDPE Natural Flakes</v>
      </c>
      <c r="H73" s="4">
        <v>2250</v>
      </c>
      <c r="I73" s="4" t="s">
        <v>9</v>
      </c>
    </row>
    <row r="74" spans="2:9">
      <c r="B74" s="4" t="s">
        <v>397</v>
      </c>
      <c r="C74" s="3">
        <f t="shared" si="1"/>
        <v>45742</v>
      </c>
      <c r="D74" s="4" t="s">
        <v>110</v>
      </c>
      <c r="E74" s="5" t="s">
        <v>6</v>
      </c>
      <c r="F74" s="4" t="s">
        <v>34</v>
      </c>
      <c r="G74" s="5" t="str">
        <f>VLOOKUP(F74,'Master Kode'!$B$3:$D$13,2,0)</f>
        <v>PET Hot Washed Flakes</v>
      </c>
      <c r="H74" s="4">
        <v>3450</v>
      </c>
      <c r="I74" s="4" t="s">
        <v>9</v>
      </c>
    </row>
    <row r="75" spans="2:9">
      <c r="B75" s="4" t="s">
        <v>398</v>
      </c>
      <c r="C75" s="3">
        <f t="shared" si="1"/>
        <v>45744</v>
      </c>
      <c r="D75" s="4" t="s">
        <v>111</v>
      </c>
      <c r="E75" s="5" t="s">
        <v>10</v>
      </c>
      <c r="F75" s="4" t="s">
        <v>17</v>
      </c>
      <c r="G75" s="5" t="str">
        <f>VLOOKUP(F75,'Master Kode'!$B$3:$D$13,2,0)</f>
        <v>HDPE Mixed Color Flakes</v>
      </c>
      <c r="H75" s="4">
        <v>2800</v>
      </c>
      <c r="I75" s="4" t="s">
        <v>9</v>
      </c>
    </row>
    <row r="76" spans="2:9">
      <c r="B76" s="4" t="s">
        <v>399</v>
      </c>
      <c r="C76" s="3">
        <f t="shared" si="1"/>
        <v>45746</v>
      </c>
      <c r="D76" s="4" t="s">
        <v>112</v>
      </c>
      <c r="E76" s="5" t="s">
        <v>13</v>
      </c>
      <c r="F76" s="4" t="s">
        <v>11</v>
      </c>
      <c r="G76" s="5" t="str">
        <f>VLOOKUP(F76,'Master Kode'!$B$3:$D$13,2,0)</f>
        <v>PET Blue Flakes</v>
      </c>
      <c r="H76" s="4">
        <v>2600</v>
      </c>
      <c r="I76" s="4" t="s">
        <v>9</v>
      </c>
    </row>
    <row r="77" spans="2:9">
      <c r="B77" s="4" t="s">
        <v>400</v>
      </c>
      <c r="C77" s="3">
        <f t="shared" si="1"/>
        <v>45747</v>
      </c>
      <c r="D77" s="4" t="s">
        <v>113</v>
      </c>
      <c r="E77" s="5" t="s">
        <v>16</v>
      </c>
      <c r="F77" s="4" t="s">
        <v>20</v>
      </c>
      <c r="G77" s="5" t="str">
        <f>VLOOKUP(F77,'Master Kode'!$B$3:$D$13,2,0)</f>
        <v>PP Injection Flakes</v>
      </c>
      <c r="H77" s="4">
        <v>2950</v>
      </c>
      <c r="I77" s="4" t="s">
        <v>9</v>
      </c>
    </row>
    <row r="78" spans="2:9">
      <c r="B78" s="4" t="s">
        <v>401</v>
      </c>
      <c r="C78" s="3">
        <f t="shared" si="1"/>
        <v>45750</v>
      </c>
      <c r="D78" s="4" t="s">
        <v>114</v>
      </c>
      <c r="E78" s="5" t="s">
        <v>6</v>
      </c>
      <c r="F78" s="4" t="s">
        <v>7</v>
      </c>
      <c r="G78" s="5" t="str">
        <f>VLOOKUP(F78,'Master Kode'!$B$3:$D$13,2,0)</f>
        <v>PET Clear Flakes</v>
      </c>
      <c r="H78" s="4">
        <v>1850</v>
      </c>
      <c r="I78" s="4" t="s">
        <v>9</v>
      </c>
    </row>
    <row r="79" spans="2:9">
      <c r="B79" s="4" t="s">
        <v>402</v>
      </c>
      <c r="C79" s="3">
        <f t="shared" si="1"/>
        <v>45751</v>
      </c>
      <c r="D79" s="4" t="s">
        <v>115</v>
      </c>
      <c r="E79" s="5" t="s">
        <v>10</v>
      </c>
      <c r="F79" s="4" t="s">
        <v>11</v>
      </c>
      <c r="G79" s="5" t="str">
        <f>VLOOKUP(F79,'Master Kode'!$B$3:$D$13,2,0)</f>
        <v>PET Blue Flakes</v>
      </c>
      <c r="H79" s="4">
        <v>2450</v>
      </c>
      <c r="I79" s="4" t="s">
        <v>9</v>
      </c>
    </row>
    <row r="80" spans="2:9">
      <c r="B80" s="4" t="s">
        <v>492</v>
      </c>
      <c r="C80" s="3">
        <f t="shared" si="1"/>
        <v>45751</v>
      </c>
      <c r="D80" s="4" t="s">
        <v>116</v>
      </c>
      <c r="E80" s="5" t="s">
        <v>16</v>
      </c>
      <c r="F80" s="4" t="s">
        <v>14</v>
      </c>
      <c r="G80" s="5" t="str">
        <f>VLOOKUP(F80,'Master Kode'!$B$3:$D$13,2,0)</f>
        <v>HDPE Natural Flakes</v>
      </c>
      <c r="H80" s="4">
        <v>2100</v>
      </c>
      <c r="I80" s="4" t="s">
        <v>9</v>
      </c>
    </row>
    <row r="81" spans="2:9">
      <c r="B81" s="4" t="s">
        <v>493</v>
      </c>
      <c r="C81" s="3">
        <f t="shared" si="1"/>
        <v>45753</v>
      </c>
      <c r="D81" s="4" t="s">
        <v>117</v>
      </c>
      <c r="E81" s="5" t="s">
        <v>13</v>
      </c>
      <c r="F81" s="4" t="s">
        <v>17</v>
      </c>
      <c r="G81" s="5" t="str">
        <f>VLOOKUP(F81,'Master Kode'!$B$3:$D$13,2,0)</f>
        <v>HDPE Mixed Color Flakes</v>
      </c>
      <c r="H81" s="4">
        <v>1980</v>
      </c>
      <c r="I81" s="4" t="s">
        <v>9</v>
      </c>
    </row>
    <row r="82" spans="2:9">
      <c r="B82" s="4" t="s">
        <v>494</v>
      </c>
      <c r="C82" s="3">
        <f t="shared" si="1"/>
        <v>45753</v>
      </c>
      <c r="D82" s="4" t="s">
        <v>118</v>
      </c>
      <c r="E82" s="5" t="s">
        <v>19</v>
      </c>
      <c r="F82" s="4" t="s">
        <v>20</v>
      </c>
      <c r="G82" s="5" t="str">
        <f>VLOOKUP(F82,'Master Kode'!$B$3:$D$13,2,0)</f>
        <v>PP Injection Flakes</v>
      </c>
      <c r="H82" s="4">
        <v>2750</v>
      </c>
      <c r="I82" s="4" t="s">
        <v>9</v>
      </c>
    </row>
    <row r="83" spans="2:9">
      <c r="B83" s="4" t="s">
        <v>495</v>
      </c>
      <c r="C83" s="3">
        <f t="shared" si="1"/>
        <v>45754</v>
      </c>
      <c r="D83" s="4" t="s">
        <v>119</v>
      </c>
      <c r="E83" s="5" t="s">
        <v>22</v>
      </c>
      <c r="F83" s="4" t="s">
        <v>23</v>
      </c>
      <c r="G83" s="5" t="str">
        <f>VLOOKUP(F83,'Master Kode'!$B$3:$D$13,2,0)</f>
        <v>PET Green Flakes</v>
      </c>
      <c r="H83" s="4">
        <v>2330</v>
      </c>
      <c r="I83" s="4" t="s">
        <v>9</v>
      </c>
    </row>
    <row r="84" spans="2:9">
      <c r="B84" s="4" t="s">
        <v>496</v>
      </c>
      <c r="C84" s="3">
        <f t="shared" si="1"/>
        <v>45755</v>
      </c>
      <c r="D84" s="4" t="s">
        <v>120</v>
      </c>
      <c r="E84" s="5" t="s">
        <v>25</v>
      </c>
      <c r="F84" s="4" t="s">
        <v>26</v>
      </c>
      <c r="G84" s="5" t="str">
        <f>VLOOKUP(F84,'Master Kode'!$B$3:$D$13,2,0)</f>
        <v>HDPE Blue Drum Flakes</v>
      </c>
      <c r="H84" s="4">
        <v>1650</v>
      </c>
      <c r="I84" s="4" t="s">
        <v>9</v>
      </c>
    </row>
    <row r="85" spans="2:9">
      <c r="B85" s="4" t="s">
        <v>497</v>
      </c>
      <c r="C85" s="3">
        <f t="shared" si="1"/>
        <v>45755</v>
      </c>
      <c r="D85" s="4" t="s">
        <v>121</v>
      </c>
      <c r="E85" s="5" t="s">
        <v>6</v>
      </c>
      <c r="F85" s="4" t="s">
        <v>28</v>
      </c>
      <c r="G85" s="5" t="str">
        <f>VLOOKUP(F85,'Master Kode'!$B$3:$D$13,2,0)</f>
        <v>PET Mixed Color Flakes</v>
      </c>
      <c r="H85" s="4">
        <v>2890</v>
      </c>
      <c r="I85" s="4" t="s">
        <v>9</v>
      </c>
    </row>
    <row r="86" spans="2:9">
      <c r="B86" s="4" t="s">
        <v>498</v>
      </c>
      <c r="C86" s="3">
        <f t="shared" si="1"/>
        <v>45756</v>
      </c>
      <c r="D86" s="4" t="s">
        <v>122</v>
      </c>
      <c r="E86" s="5" t="s">
        <v>10</v>
      </c>
      <c r="F86" s="4" t="s">
        <v>30</v>
      </c>
      <c r="G86" s="5" t="str">
        <f>VLOOKUP(F86,'Master Kode'!$B$3:$D$13,2,0)</f>
        <v>PP White Flakes</v>
      </c>
      <c r="H86" s="4">
        <v>3150</v>
      </c>
      <c r="I86" s="4" t="s">
        <v>9</v>
      </c>
    </row>
    <row r="87" spans="2:9">
      <c r="B87" s="4" t="s">
        <v>499</v>
      </c>
      <c r="C87" s="3">
        <f t="shared" si="1"/>
        <v>45757</v>
      </c>
      <c r="D87" s="4" t="s">
        <v>123</v>
      </c>
      <c r="E87" s="5" t="s">
        <v>16</v>
      </c>
      <c r="F87" s="4" t="s">
        <v>7</v>
      </c>
      <c r="G87" s="5" t="str">
        <f>VLOOKUP(F87,'Master Kode'!$B$3:$D$13,2,0)</f>
        <v>PET Clear Flakes</v>
      </c>
      <c r="H87" s="4">
        <v>1990</v>
      </c>
      <c r="I87" s="4" t="s">
        <v>9</v>
      </c>
    </row>
    <row r="88" spans="2:9">
      <c r="B88" s="4" t="s">
        <v>500</v>
      </c>
      <c r="C88" s="3">
        <f t="shared" si="1"/>
        <v>45758</v>
      </c>
      <c r="D88" s="4" t="s">
        <v>124</v>
      </c>
      <c r="E88" s="5" t="s">
        <v>19</v>
      </c>
      <c r="F88" s="4" t="s">
        <v>11</v>
      </c>
      <c r="G88" s="5" t="str">
        <f>VLOOKUP(F88,'Master Kode'!$B$3:$D$13,2,0)</f>
        <v>PET Blue Flakes</v>
      </c>
      <c r="H88" s="4">
        <v>2210</v>
      </c>
      <c r="I88" s="4" t="s">
        <v>9</v>
      </c>
    </row>
    <row r="89" spans="2:9">
      <c r="B89" s="4" t="s">
        <v>501</v>
      </c>
      <c r="C89" s="3">
        <f t="shared" si="1"/>
        <v>45758</v>
      </c>
      <c r="D89" s="4" t="s">
        <v>125</v>
      </c>
      <c r="E89" s="5" t="s">
        <v>13</v>
      </c>
      <c r="F89" s="4" t="s">
        <v>32</v>
      </c>
      <c r="G89" s="5" t="str">
        <f>VLOOKUP(F89,'Master Kode'!$B$3:$D$13,2,0)</f>
        <v>HDPE Bottle Cap Flakes</v>
      </c>
      <c r="H89" s="4">
        <v>1870</v>
      </c>
      <c r="I89" s="4" t="s">
        <v>9</v>
      </c>
    </row>
    <row r="90" spans="2:9">
      <c r="B90" s="4" t="s">
        <v>502</v>
      </c>
      <c r="C90" s="3">
        <f t="shared" si="1"/>
        <v>45762</v>
      </c>
      <c r="D90" s="4" t="s">
        <v>126</v>
      </c>
      <c r="E90" s="5" t="s">
        <v>22</v>
      </c>
      <c r="F90" s="4" t="s">
        <v>34</v>
      </c>
      <c r="G90" s="5" t="str">
        <f>VLOOKUP(F90,'Master Kode'!$B$3:$D$13,2,0)</f>
        <v>PET Hot Washed Flakes</v>
      </c>
      <c r="H90" s="4">
        <v>3200</v>
      </c>
      <c r="I90" s="4" t="s">
        <v>9</v>
      </c>
    </row>
    <row r="91" spans="2:9">
      <c r="B91" s="4" t="s">
        <v>503</v>
      </c>
      <c r="C91" s="3">
        <f t="shared" si="1"/>
        <v>45762</v>
      </c>
      <c r="D91" s="4" t="s">
        <v>127</v>
      </c>
      <c r="E91" s="5" t="s">
        <v>25</v>
      </c>
      <c r="F91" s="4" t="s">
        <v>14</v>
      </c>
      <c r="G91" s="5" t="str">
        <f>VLOOKUP(F91,'Master Kode'!$B$3:$D$13,2,0)</f>
        <v>HDPE Natural Flakes</v>
      </c>
      <c r="H91" s="4">
        <v>1780</v>
      </c>
      <c r="I91" s="4" t="s">
        <v>9</v>
      </c>
    </row>
    <row r="92" spans="2:9">
      <c r="B92" s="4" t="s">
        <v>504</v>
      </c>
      <c r="C92" s="3">
        <f t="shared" si="1"/>
        <v>45763</v>
      </c>
      <c r="D92" s="4" t="s">
        <v>128</v>
      </c>
      <c r="E92" s="5" t="s">
        <v>6</v>
      </c>
      <c r="F92" s="4" t="s">
        <v>20</v>
      </c>
      <c r="G92" s="5" t="str">
        <f>VLOOKUP(F92,'Master Kode'!$B$3:$D$13,2,0)</f>
        <v>PP Injection Flakes</v>
      </c>
      <c r="H92" s="4">
        <v>2640</v>
      </c>
      <c r="I92" s="4" t="s">
        <v>9</v>
      </c>
    </row>
    <row r="93" spans="2:9">
      <c r="B93" s="4" t="s">
        <v>505</v>
      </c>
      <c r="C93" s="3">
        <f t="shared" si="1"/>
        <v>45765</v>
      </c>
      <c r="D93" s="4" t="s">
        <v>129</v>
      </c>
      <c r="E93" s="5" t="s">
        <v>10</v>
      </c>
      <c r="F93" s="4" t="s">
        <v>28</v>
      </c>
      <c r="G93" s="5" t="str">
        <f>VLOOKUP(F93,'Master Kode'!$B$3:$D$13,2,0)</f>
        <v>PET Mixed Color Flakes</v>
      </c>
      <c r="H93" s="4">
        <v>3010</v>
      </c>
      <c r="I93" s="4" t="s">
        <v>9</v>
      </c>
    </row>
    <row r="94" spans="2:9">
      <c r="B94" s="4" t="s">
        <v>506</v>
      </c>
      <c r="C94" s="3">
        <f t="shared" si="1"/>
        <v>45765</v>
      </c>
      <c r="D94" s="4" t="s">
        <v>130</v>
      </c>
      <c r="E94" s="5" t="s">
        <v>16</v>
      </c>
      <c r="F94" s="4" t="s">
        <v>17</v>
      </c>
      <c r="G94" s="5" t="str">
        <f>VLOOKUP(F94,'Master Kode'!$B$3:$D$13,2,0)</f>
        <v>HDPE Mixed Color Flakes</v>
      </c>
      <c r="H94" s="4">
        <v>2190</v>
      </c>
      <c r="I94" s="4" t="s">
        <v>9</v>
      </c>
    </row>
    <row r="95" spans="2:9">
      <c r="B95" s="4" t="s">
        <v>507</v>
      </c>
      <c r="C95" s="3">
        <f t="shared" si="1"/>
        <v>45766</v>
      </c>
      <c r="D95" s="4" t="s">
        <v>131</v>
      </c>
      <c r="E95" s="5" t="s">
        <v>19</v>
      </c>
      <c r="F95" s="4" t="s">
        <v>30</v>
      </c>
      <c r="G95" s="5" t="str">
        <f>VLOOKUP(F95,'Master Kode'!$B$3:$D$13,2,0)</f>
        <v>PP White Flakes</v>
      </c>
      <c r="H95" s="4">
        <v>2440</v>
      </c>
      <c r="I95" s="4" t="s">
        <v>9</v>
      </c>
    </row>
    <row r="96" spans="2:9">
      <c r="B96" s="4" t="s">
        <v>508</v>
      </c>
      <c r="C96" s="3">
        <f t="shared" si="1"/>
        <v>45770</v>
      </c>
      <c r="D96" s="4" t="s">
        <v>132</v>
      </c>
      <c r="E96" s="5" t="s">
        <v>13</v>
      </c>
      <c r="F96" s="4" t="s">
        <v>23</v>
      </c>
      <c r="G96" s="5" t="str">
        <f>VLOOKUP(F96,'Master Kode'!$B$3:$D$13,2,0)</f>
        <v>PET Green Flakes</v>
      </c>
      <c r="H96" s="4">
        <v>2310</v>
      </c>
      <c r="I96" s="4" t="s">
        <v>9</v>
      </c>
    </row>
    <row r="97" spans="2:9">
      <c r="B97" s="4" t="s">
        <v>509</v>
      </c>
      <c r="C97" s="3">
        <f t="shared" si="1"/>
        <v>45770</v>
      </c>
      <c r="D97" s="4" t="s">
        <v>133</v>
      </c>
      <c r="E97" s="5" t="s">
        <v>22</v>
      </c>
      <c r="F97" s="4" t="s">
        <v>7</v>
      </c>
      <c r="G97" s="5" t="str">
        <f>VLOOKUP(F97,'Master Kode'!$B$3:$D$13,2,0)</f>
        <v>PET Clear Flakes</v>
      </c>
      <c r="H97" s="4">
        <v>2950</v>
      </c>
      <c r="I97" s="4" t="s">
        <v>9</v>
      </c>
    </row>
    <row r="98" spans="2:9">
      <c r="B98" s="4" t="s">
        <v>510</v>
      </c>
      <c r="C98" s="3">
        <f t="shared" si="1"/>
        <v>45771</v>
      </c>
      <c r="D98" s="4" t="s">
        <v>134</v>
      </c>
      <c r="E98" s="5" t="s">
        <v>25</v>
      </c>
      <c r="F98" s="4" t="s">
        <v>11</v>
      </c>
      <c r="G98" s="5" t="str">
        <f>VLOOKUP(F98,'Master Kode'!$B$3:$D$13,2,0)</f>
        <v>PET Blue Flakes</v>
      </c>
      <c r="H98" s="4">
        <v>2075</v>
      </c>
      <c r="I98" s="4" t="s">
        <v>9</v>
      </c>
    </row>
    <row r="99" spans="2:9">
      <c r="B99" s="4" t="s">
        <v>511</v>
      </c>
      <c r="C99" s="3">
        <f t="shared" si="1"/>
        <v>45774</v>
      </c>
      <c r="D99" s="4" t="s">
        <v>135</v>
      </c>
      <c r="E99" s="5" t="s">
        <v>16</v>
      </c>
      <c r="F99" s="4" t="s">
        <v>32</v>
      </c>
      <c r="G99" s="5" t="str">
        <f>VLOOKUP(F99,'Master Kode'!$B$3:$D$13,2,0)</f>
        <v>HDPE Bottle Cap Flakes</v>
      </c>
      <c r="H99" s="4">
        <v>1880</v>
      </c>
      <c r="I99" s="4" t="s">
        <v>9</v>
      </c>
    </row>
    <row r="100" spans="2:9">
      <c r="B100" s="4" t="s">
        <v>512</v>
      </c>
      <c r="C100" s="3">
        <f t="shared" si="1"/>
        <v>45774</v>
      </c>
      <c r="D100" s="4" t="s">
        <v>136</v>
      </c>
      <c r="E100" s="5" t="s">
        <v>19</v>
      </c>
      <c r="F100" s="4" t="s">
        <v>14</v>
      </c>
      <c r="G100" s="5" t="str">
        <f>VLOOKUP(F100,'Master Kode'!$B$3:$D$13,2,0)</f>
        <v>HDPE Natural Flakes</v>
      </c>
      <c r="H100" s="4">
        <v>2540</v>
      </c>
      <c r="I100" s="4" t="s">
        <v>9</v>
      </c>
    </row>
    <row r="101" spans="2:9">
      <c r="B101" s="4" t="s">
        <v>513</v>
      </c>
      <c r="C101" s="3">
        <f t="shared" si="1"/>
        <v>45775</v>
      </c>
      <c r="D101" s="4" t="s">
        <v>137</v>
      </c>
      <c r="E101" s="5" t="s">
        <v>10</v>
      </c>
      <c r="F101" s="4" t="s">
        <v>34</v>
      </c>
      <c r="G101" s="5" t="str">
        <f>VLOOKUP(F101,'Master Kode'!$B$3:$D$13,2,0)</f>
        <v>PET Hot Washed Flakes</v>
      </c>
      <c r="H101" s="4">
        <v>3360</v>
      </c>
      <c r="I101" s="4" t="s">
        <v>9</v>
      </c>
    </row>
    <row r="102" spans="2:9">
      <c r="B102" s="4" t="s">
        <v>514</v>
      </c>
      <c r="C102" s="3">
        <f t="shared" si="1"/>
        <v>45777</v>
      </c>
      <c r="D102" s="4" t="s">
        <v>138</v>
      </c>
      <c r="E102" s="5" t="s">
        <v>6</v>
      </c>
      <c r="F102" s="4" t="s">
        <v>17</v>
      </c>
      <c r="G102" s="5" t="str">
        <f>VLOOKUP(F102,'Master Kode'!$B$3:$D$13,2,0)</f>
        <v>HDPE Mixed Color Flakes</v>
      </c>
      <c r="H102" s="4">
        <v>2010</v>
      </c>
      <c r="I102" s="4" t="s">
        <v>9</v>
      </c>
    </row>
    <row r="103" spans="2:9">
      <c r="B103" s="4" t="s">
        <v>515</v>
      </c>
      <c r="C103" s="3">
        <f t="shared" si="1"/>
        <v>45777</v>
      </c>
      <c r="D103" s="4" t="s">
        <v>139</v>
      </c>
      <c r="E103" s="5" t="s">
        <v>13</v>
      </c>
      <c r="F103" s="4" t="s">
        <v>20</v>
      </c>
      <c r="G103" s="5" t="str">
        <f>VLOOKUP(F103,'Master Kode'!$B$3:$D$13,2,0)</f>
        <v>PP Injection Flakes</v>
      </c>
      <c r="H103" s="4">
        <v>2675</v>
      </c>
      <c r="I103" s="4" t="s">
        <v>9</v>
      </c>
    </row>
    <row r="104" spans="2:9">
      <c r="B104" s="4" t="s">
        <v>403</v>
      </c>
      <c r="C104" s="3">
        <f t="shared" si="1"/>
        <v>45778</v>
      </c>
      <c r="D104" s="4" t="s">
        <v>140</v>
      </c>
      <c r="E104" s="5" t="s">
        <v>22</v>
      </c>
      <c r="F104" s="4" t="s">
        <v>28</v>
      </c>
      <c r="G104" s="5" t="str">
        <f>VLOOKUP(F104,'Master Kode'!$B$3:$D$13,2,0)</f>
        <v>PET Mixed Color Flakes</v>
      </c>
      <c r="H104" s="4">
        <v>2230</v>
      </c>
      <c r="I104" s="4" t="s">
        <v>9</v>
      </c>
    </row>
    <row r="105" spans="2:9">
      <c r="B105" s="4" t="s">
        <v>516</v>
      </c>
      <c r="C105" s="3">
        <f t="shared" si="1"/>
        <v>45781</v>
      </c>
      <c r="D105" s="4" t="s">
        <v>141</v>
      </c>
      <c r="E105" s="5" t="s">
        <v>6</v>
      </c>
      <c r="F105" s="4" t="s">
        <v>7</v>
      </c>
      <c r="G105" s="5" t="str">
        <f>VLOOKUP(F105,'Master Kode'!$B$3:$D$13,2,0)</f>
        <v>PET Clear Flakes</v>
      </c>
      <c r="H105" s="4">
        <v>1820</v>
      </c>
      <c r="I105" s="4" t="s">
        <v>9</v>
      </c>
    </row>
    <row r="106" spans="2:9">
      <c r="B106" s="4" t="s">
        <v>517</v>
      </c>
      <c r="C106" s="3">
        <f t="shared" si="1"/>
        <v>45781</v>
      </c>
      <c r="D106" s="4" t="s">
        <v>142</v>
      </c>
      <c r="E106" s="5" t="s">
        <v>10</v>
      </c>
      <c r="F106" s="4" t="s">
        <v>14</v>
      </c>
      <c r="G106" s="5" t="str">
        <f>VLOOKUP(F106,'Master Kode'!$B$3:$D$13,2,0)</f>
        <v>HDPE Natural Flakes</v>
      </c>
      <c r="H106" s="4">
        <v>2560</v>
      </c>
      <c r="I106" s="4" t="s">
        <v>9</v>
      </c>
    </row>
    <row r="107" spans="2:9">
      <c r="B107" s="4" t="s">
        <v>518</v>
      </c>
      <c r="C107" s="3">
        <f t="shared" si="1"/>
        <v>45782</v>
      </c>
      <c r="D107" s="4" t="s">
        <v>143</v>
      </c>
      <c r="E107" s="5" t="s">
        <v>13</v>
      </c>
      <c r="F107" s="4" t="s">
        <v>11</v>
      </c>
      <c r="G107" s="5" t="str">
        <f>VLOOKUP(F107,'Master Kode'!$B$3:$D$13,2,0)</f>
        <v>PET Blue Flakes</v>
      </c>
      <c r="H107" s="4">
        <v>3100</v>
      </c>
      <c r="I107" s="4" t="s">
        <v>9</v>
      </c>
    </row>
    <row r="108" spans="2:9">
      <c r="B108" s="4" t="s">
        <v>519</v>
      </c>
      <c r="C108" s="3">
        <f t="shared" si="1"/>
        <v>45783</v>
      </c>
      <c r="D108" s="4" t="s">
        <v>144</v>
      </c>
      <c r="E108" s="5" t="s">
        <v>16</v>
      </c>
      <c r="F108" s="4" t="s">
        <v>17</v>
      </c>
      <c r="G108" s="5" t="str">
        <f>VLOOKUP(F108,'Master Kode'!$B$3:$D$13,2,0)</f>
        <v>HDPE Mixed Color Flakes</v>
      </c>
      <c r="H108" s="4">
        <v>1450</v>
      </c>
      <c r="I108" s="4" t="s">
        <v>9</v>
      </c>
    </row>
    <row r="109" spans="2:9">
      <c r="B109" s="4" t="s">
        <v>520</v>
      </c>
      <c r="C109" s="3">
        <f t="shared" si="1"/>
        <v>45784</v>
      </c>
      <c r="D109" s="4" t="s">
        <v>145</v>
      </c>
      <c r="E109" s="5" t="s">
        <v>19</v>
      </c>
      <c r="F109" s="4" t="s">
        <v>23</v>
      </c>
      <c r="G109" s="5" t="str">
        <f>VLOOKUP(F109,'Master Kode'!$B$3:$D$13,2,0)</f>
        <v>PET Green Flakes</v>
      </c>
      <c r="H109" s="4">
        <v>2280</v>
      </c>
      <c r="I109" s="4" t="s">
        <v>9</v>
      </c>
    </row>
    <row r="110" spans="2:9">
      <c r="B110" s="4" t="s">
        <v>521</v>
      </c>
      <c r="C110" s="3">
        <f t="shared" si="1"/>
        <v>45784</v>
      </c>
      <c r="D110" s="4" t="s">
        <v>146</v>
      </c>
      <c r="E110" s="5" t="s">
        <v>22</v>
      </c>
      <c r="F110" s="4" t="s">
        <v>20</v>
      </c>
      <c r="G110" s="5" t="str">
        <f>VLOOKUP(F110,'Master Kode'!$B$3:$D$13,2,0)</f>
        <v>PP Injection Flakes</v>
      </c>
      <c r="H110" s="4">
        <v>2750</v>
      </c>
      <c r="I110" s="4" t="s">
        <v>9</v>
      </c>
    </row>
    <row r="111" spans="2:9">
      <c r="B111" s="4" t="s">
        <v>522</v>
      </c>
      <c r="C111" s="3">
        <f t="shared" si="1"/>
        <v>45785</v>
      </c>
      <c r="D111" s="4" t="s">
        <v>147</v>
      </c>
      <c r="E111" s="5" t="s">
        <v>25</v>
      </c>
      <c r="F111" s="4" t="s">
        <v>26</v>
      </c>
      <c r="G111" s="5" t="str">
        <f>VLOOKUP(F111,'Master Kode'!$B$3:$D$13,2,0)</f>
        <v>HDPE Blue Drum Flakes</v>
      </c>
      <c r="H111" s="4">
        <v>1640</v>
      </c>
      <c r="I111" s="4" t="s">
        <v>9</v>
      </c>
    </row>
    <row r="112" spans="2:9">
      <c r="B112" s="4" t="s">
        <v>523</v>
      </c>
      <c r="C112" s="3">
        <f t="shared" si="1"/>
        <v>45786</v>
      </c>
      <c r="D112" s="4" t="s">
        <v>148</v>
      </c>
      <c r="E112" s="5" t="s">
        <v>6</v>
      </c>
      <c r="F112" s="4" t="s">
        <v>28</v>
      </c>
      <c r="G112" s="5" t="str">
        <f>VLOOKUP(F112,'Master Kode'!$B$3:$D$13,2,0)</f>
        <v>PET Mixed Color Flakes</v>
      </c>
      <c r="H112" s="4">
        <v>3050</v>
      </c>
      <c r="I112" s="4" t="s">
        <v>9</v>
      </c>
    </row>
    <row r="113" spans="2:9">
      <c r="B113" s="4" t="s">
        <v>524</v>
      </c>
      <c r="C113" s="3">
        <f t="shared" si="1"/>
        <v>45787</v>
      </c>
      <c r="D113" s="4" t="s">
        <v>149</v>
      </c>
      <c r="E113" s="5" t="s">
        <v>10</v>
      </c>
      <c r="F113" s="4" t="s">
        <v>34</v>
      </c>
      <c r="G113" s="5" t="str">
        <f>VLOOKUP(F113,'Master Kode'!$B$3:$D$13,2,0)</f>
        <v>PET Hot Washed Flakes</v>
      </c>
      <c r="H113" s="4">
        <v>1980</v>
      </c>
      <c r="I113" s="4" t="s">
        <v>9</v>
      </c>
    </row>
    <row r="114" spans="2:9">
      <c r="B114" s="4" t="s">
        <v>525</v>
      </c>
      <c r="C114" s="3">
        <f t="shared" si="1"/>
        <v>45788</v>
      </c>
      <c r="D114" s="4" t="s">
        <v>150</v>
      </c>
      <c r="E114" s="5" t="s">
        <v>13</v>
      </c>
      <c r="F114" s="4" t="s">
        <v>32</v>
      </c>
      <c r="G114" s="5" t="str">
        <f>VLOOKUP(F114,'Master Kode'!$B$3:$D$13,2,0)</f>
        <v>HDPE Bottle Cap Flakes</v>
      </c>
      <c r="H114" s="4">
        <v>2120</v>
      </c>
      <c r="I114" s="4" t="s">
        <v>9</v>
      </c>
    </row>
    <row r="115" spans="2:9">
      <c r="B115" s="4" t="s">
        <v>526</v>
      </c>
      <c r="C115" s="3">
        <f t="shared" si="1"/>
        <v>45789</v>
      </c>
      <c r="D115" s="4" t="s">
        <v>151</v>
      </c>
      <c r="E115" s="5" t="s">
        <v>16</v>
      </c>
      <c r="F115" s="4" t="s">
        <v>11</v>
      </c>
      <c r="G115" s="5" t="str">
        <f>VLOOKUP(F115,'Master Kode'!$B$3:$D$13,2,0)</f>
        <v>PET Blue Flakes</v>
      </c>
      <c r="H115" s="4">
        <v>3340</v>
      </c>
      <c r="I115" s="4" t="s">
        <v>9</v>
      </c>
    </row>
    <row r="116" spans="2:9">
      <c r="B116" s="4" t="s">
        <v>527</v>
      </c>
      <c r="C116" s="3">
        <f t="shared" si="1"/>
        <v>45790</v>
      </c>
      <c r="D116" s="4" t="s">
        <v>152</v>
      </c>
      <c r="E116" s="5" t="s">
        <v>19</v>
      </c>
      <c r="F116" s="4" t="s">
        <v>7</v>
      </c>
      <c r="G116" s="5" t="str">
        <f>VLOOKUP(F116,'Master Kode'!$B$3:$D$13,2,0)</f>
        <v>PET Clear Flakes</v>
      </c>
      <c r="H116" s="4">
        <v>2890</v>
      </c>
      <c r="I116" s="4" t="s">
        <v>9</v>
      </c>
    </row>
    <row r="117" spans="2:9">
      <c r="B117" s="4" t="s">
        <v>528</v>
      </c>
      <c r="C117" s="3">
        <f t="shared" si="1"/>
        <v>45791</v>
      </c>
      <c r="D117" s="4" t="s">
        <v>153</v>
      </c>
      <c r="E117" s="5" t="s">
        <v>22</v>
      </c>
      <c r="F117" s="4" t="s">
        <v>14</v>
      </c>
      <c r="G117" s="5" t="str">
        <f>VLOOKUP(F117,'Master Kode'!$B$3:$D$13,2,0)</f>
        <v>HDPE Natural Flakes</v>
      </c>
      <c r="H117" s="4">
        <v>1570</v>
      </c>
      <c r="I117" s="4" t="s">
        <v>9</v>
      </c>
    </row>
    <row r="118" spans="2:9">
      <c r="B118" s="4" t="s">
        <v>529</v>
      </c>
      <c r="C118" s="3">
        <f t="shared" si="1"/>
        <v>45792</v>
      </c>
      <c r="D118" s="4" t="s">
        <v>154</v>
      </c>
      <c r="E118" s="5" t="s">
        <v>25</v>
      </c>
      <c r="F118" s="4" t="s">
        <v>17</v>
      </c>
      <c r="G118" s="5" t="str">
        <f>VLOOKUP(F118,'Master Kode'!$B$3:$D$13,2,0)</f>
        <v>HDPE Mixed Color Flakes</v>
      </c>
      <c r="H118" s="4">
        <v>2210</v>
      </c>
      <c r="I118" s="4" t="s">
        <v>9</v>
      </c>
    </row>
    <row r="119" spans="2:9">
      <c r="B119" s="4" t="s">
        <v>530</v>
      </c>
      <c r="C119" s="3">
        <f t="shared" si="1"/>
        <v>45793</v>
      </c>
      <c r="D119" s="4" t="s">
        <v>155</v>
      </c>
      <c r="E119" s="5" t="s">
        <v>6</v>
      </c>
      <c r="F119" s="4" t="s">
        <v>20</v>
      </c>
      <c r="G119" s="5" t="str">
        <f>VLOOKUP(F119,'Master Kode'!$B$3:$D$13,2,0)</f>
        <v>PP Injection Flakes</v>
      </c>
      <c r="H119" s="4">
        <v>3400</v>
      </c>
      <c r="I119" s="4" t="s">
        <v>9</v>
      </c>
    </row>
    <row r="120" spans="2:9">
      <c r="B120" s="4" t="s">
        <v>531</v>
      </c>
      <c r="C120" s="3">
        <f t="shared" si="1"/>
        <v>45794</v>
      </c>
      <c r="D120" s="4" t="s">
        <v>156</v>
      </c>
      <c r="E120" s="5" t="s">
        <v>10</v>
      </c>
      <c r="F120" s="4" t="s">
        <v>23</v>
      </c>
      <c r="G120" s="5" t="str">
        <f>VLOOKUP(F120,'Master Kode'!$B$3:$D$13,2,0)</f>
        <v>PET Green Flakes</v>
      </c>
      <c r="H120" s="4">
        <v>2755</v>
      </c>
      <c r="I120" s="4" t="s">
        <v>9</v>
      </c>
    </row>
    <row r="121" spans="2:9">
      <c r="B121" s="4" t="s">
        <v>532</v>
      </c>
      <c r="C121" s="3">
        <f t="shared" si="1"/>
        <v>45795</v>
      </c>
      <c r="D121" s="4" t="s">
        <v>157</v>
      </c>
      <c r="E121" s="5" t="s">
        <v>13</v>
      </c>
      <c r="F121" s="4" t="s">
        <v>34</v>
      </c>
      <c r="G121" s="5" t="str">
        <f>VLOOKUP(F121,'Master Kode'!$B$3:$D$13,2,0)</f>
        <v>PET Hot Washed Flakes</v>
      </c>
      <c r="H121" s="4">
        <v>1985</v>
      </c>
      <c r="I121" s="4" t="s">
        <v>9</v>
      </c>
    </row>
    <row r="122" spans="2:9">
      <c r="B122" s="4" t="s">
        <v>533</v>
      </c>
      <c r="C122" s="3">
        <f t="shared" si="1"/>
        <v>45796</v>
      </c>
      <c r="D122" s="4" t="s">
        <v>158</v>
      </c>
      <c r="E122" s="5" t="s">
        <v>16</v>
      </c>
      <c r="F122" s="4" t="s">
        <v>26</v>
      </c>
      <c r="G122" s="5" t="str">
        <f>VLOOKUP(F122,'Master Kode'!$B$3:$D$13,2,0)</f>
        <v>HDPE Blue Drum Flakes</v>
      </c>
      <c r="H122" s="4">
        <v>2440</v>
      </c>
      <c r="I122" s="4" t="s">
        <v>9</v>
      </c>
    </row>
    <row r="123" spans="2:9">
      <c r="B123" s="4" t="s">
        <v>534</v>
      </c>
      <c r="C123" s="3">
        <f t="shared" si="1"/>
        <v>45797</v>
      </c>
      <c r="D123" s="4" t="s">
        <v>159</v>
      </c>
      <c r="E123" s="5" t="s">
        <v>19</v>
      </c>
      <c r="F123" s="4" t="s">
        <v>11</v>
      </c>
      <c r="G123" s="5" t="str">
        <f>VLOOKUP(F123,'Master Kode'!$B$3:$D$13,2,0)</f>
        <v>PET Blue Flakes</v>
      </c>
      <c r="H123" s="4">
        <v>3110</v>
      </c>
      <c r="I123" s="4" t="s">
        <v>9</v>
      </c>
    </row>
    <row r="124" spans="2:9">
      <c r="B124" s="4" t="s">
        <v>535</v>
      </c>
      <c r="C124" s="3">
        <f t="shared" si="1"/>
        <v>45798</v>
      </c>
      <c r="D124" s="4" t="s">
        <v>160</v>
      </c>
      <c r="E124" s="5" t="s">
        <v>22</v>
      </c>
      <c r="F124" s="4" t="s">
        <v>7</v>
      </c>
      <c r="G124" s="5" t="str">
        <f>VLOOKUP(F124,'Master Kode'!$B$3:$D$13,2,0)</f>
        <v>PET Clear Flakes</v>
      </c>
      <c r="H124" s="4">
        <v>2680</v>
      </c>
      <c r="I124" s="4" t="s">
        <v>9</v>
      </c>
    </row>
    <row r="125" spans="2:9">
      <c r="B125" s="4" t="s">
        <v>536</v>
      </c>
      <c r="C125" s="3">
        <f t="shared" si="1"/>
        <v>45799</v>
      </c>
      <c r="D125" s="4" t="s">
        <v>161</v>
      </c>
      <c r="E125" s="5" t="s">
        <v>25</v>
      </c>
      <c r="F125" s="4" t="s">
        <v>28</v>
      </c>
      <c r="G125" s="5" t="str">
        <f>VLOOKUP(F125,'Master Kode'!$B$3:$D$13,2,0)</f>
        <v>PET Mixed Color Flakes</v>
      </c>
      <c r="H125" s="4">
        <v>1870</v>
      </c>
      <c r="I125" s="4" t="s">
        <v>9</v>
      </c>
    </row>
    <row r="126" spans="2:9">
      <c r="B126" s="4" t="s">
        <v>537</v>
      </c>
      <c r="C126" s="3">
        <f t="shared" si="1"/>
        <v>45800</v>
      </c>
      <c r="D126" s="4" t="s">
        <v>162</v>
      </c>
      <c r="E126" s="5" t="s">
        <v>6</v>
      </c>
      <c r="F126" s="4" t="s">
        <v>14</v>
      </c>
      <c r="G126" s="5" t="str">
        <f>VLOOKUP(F126,'Master Kode'!$B$3:$D$13,2,0)</f>
        <v>HDPE Natural Flakes</v>
      </c>
      <c r="H126" s="4">
        <v>2330</v>
      </c>
      <c r="I126" s="4" t="s">
        <v>9</v>
      </c>
    </row>
    <row r="127" spans="2:9">
      <c r="B127" s="4" t="s">
        <v>538</v>
      </c>
      <c r="C127" s="3">
        <f t="shared" si="1"/>
        <v>45801</v>
      </c>
      <c r="D127" s="4" t="s">
        <v>163</v>
      </c>
      <c r="E127" s="5" t="s">
        <v>10</v>
      </c>
      <c r="F127" s="4" t="s">
        <v>32</v>
      </c>
      <c r="G127" s="5" t="str">
        <f>VLOOKUP(F127,'Master Kode'!$B$3:$D$13,2,0)</f>
        <v>HDPE Bottle Cap Flakes</v>
      </c>
      <c r="H127" s="4">
        <v>1765</v>
      </c>
      <c r="I127" s="4" t="s">
        <v>9</v>
      </c>
    </row>
    <row r="128" spans="2:9">
      <c r="B128" s="4" t="s">
        <v>539</v>
      </c>
      <c r="C128" s="3">
        <f t="shared" si="1"/>
        <v>45802</v>
      </c>
      <c r="D128" s="4" t="s">
        <v>164</v>
      </c>
      <c r="E128" s="5" t="s">
        <v>13</v>
      </c>
      <c r="F128" s="4" t="s">
        <v>20</v>
      </c>
      <c r="G128" s="5" t="str">
        <f>VLOOKUP(F128,'Master Kode'!$B$3:$D$13,2,0)</f>
        <v>PP Injection Flakes</v>
      </c>
      <c r="H128" s="4">
        <v>2950</v>
      </c>
      <c r="I128" s="4" t="s">
        <v>9</v>
      </c>
    </row>
    <row r="129" spans="2:9">
      <c r="B129" s="4" t="s">
        <v>540</v>
      </c>
      <c r="C129" s="3">
        <f t="shared" si="1"/>
        <v>45803</v>
      </c>
      <c r="D129" s="4" t="s">
        <v>165</v>
      </c>
      <c r="E129" s="5" t="s">
        <v>16</v>
      </c>
      <c r="F129" s="4" t="s">
        <v>23</v>
      </c>
      <c r="G129" s="5" t="str">
        <f>VLOOKUP(F129,'Master Kode'!$B$3:$D$13,2,0)</f>
        <v>PET Green Flakes</v>
      </c>
      <c r="H129" s="4">
        <v>3210</v>
      </c>
      <c r="I129" s="4" t="s">
        <v>9</v>
      </c>
    </row>
    <row r="130" spans="2:9">
      <c r="B130" s="4" t="s">
        <v>541</v>
      </c>
      <c r="C130" s="3">
        <f t="shared" si="1"/>
        <v>45804</v>
      </c>
      <c r="D130" s="4" t="s">
        <v>166</v>
      </c>
      <c r="E130" s="5" t="s">
        <v>19</v>
      </c>
      <c r="F130" s="4" t="s">
        <v>34</v>
      </c>
      <c r="G130" s="5" t="str">
        <f>VLOOKUP(F130,'Master Kode'!$B$3:$D$13,2,0)</f>
        <v>PET Hot Washed Flakes</v>
      </c>
      <c r="H130" s="4">
        <v>2080</v>
      </c>
      <c r="I130" s="4" t="s">
        <v>9</v>
      </c>
    </row>
    <row r="131" spans="2:9">
      <c r="B131" s="4" t="s">
        <v>542</v>
      </c>
      <c r="C131" s="3">
        <f t="shared" si="1"/>
        <v>45805</v>
      </c>
      <c r="D131" s="4" t="s">
        <v>167</v>
      </c>
      <c r="E131" s="5" t="s">
        <v>22</v>
      </c>
      <c r="F131" s="4" t="s">
        <v>17</v>
      </c>
      <c r="G131" s="5" t="str">
        <f>VLOOKUP(F131,'Master Kode'!$B$3:$D$13,2,0)</f>
        <v>HDPE Mixed Color Flakes</v>
      </c>
      <c r="H131" s="4">
        <v>2650</v>
      </c>
      <c r="I131" s="4" t="s">
        <v>9</v>
      </c>
    </row>
    <row r="132" spans="2:9">
      <c r="B132" s="4" t="s">
        <v>543</v>
      </c>
      <c r="C132" s="3">
        <f t="shared" ref="C132:C195" si="2">DATE(2000+MID(B132,7,2),MID(B132,5,2),MID(B132,3,2))</f>
        <v>45811</v>
      </c>
      <c r="D132" s="4" t="s">
        <v>168</v>
      </c>
      <c r="E132" s="5" t="s">
        <v>6</v>
      </c>
      <c r="F132" s="4" t="s">
        <v>7</v>
      </c>
      <c r="G132" s="5" t="str">
        <f>VLOOKUP(F132,'Master Kode'!$B$3:$D$13,2,0)</f>
        <v>PET Clear Flakes</v>
      </c>
      <c r="H132" s="4">
        <v>2150</v>
      </c>
      <c r="I132" s="4" t="s">
        <v>9</v>
      </c>
    </row>
    <row r="133" spans="2:9">
      <c r="B133" s="4" t="s">
        <v>544</v>
      </c>
      <c r="C133" s="3">
        <f t="shared" si="2"/>
        <v>45812</v>
      </c>
      <c r="D133" s="4" t="s">
        <v>169</v>
      </c>
      <c r="E133" s="5" t="s">
        <v>10</v>
      </c>
      <c r="F133" s="4" t="s">
        <v>14</v>
      </c>
      <c r="G133" s="5" t="str">
        <f>VLOOKUP(F133,'Master Kode'!$B$3:$D$13,2,0)</f>
        <v>HDPE Natural Flakes</v>
      </c>
      <c r="H133" s="4">
        <v>1890</v>
      </c>
      <c r="I133" s="4" t="s">
        <v>9</v>
      </c>
    </row>
    <row r="134" spans="2:9">
      <c r="B134" s="4" t="s">
        <v>545</v>
      </c>
      <c r="C134" s="3">
        <f t="shared" si="2"/>
        <v>45813</v>
      </c>
      <c r="D134" s="4" t="s">
        <v>170</v>
      </c>
      <c r="E134" s="5" t="s">
        <v>13</v>
      </c>
      <c r="F134" s="4" t="s">
        <v>11</v>
      </c>
      <c r="G134" s="5" t="str">
        <f>VLOOKUP(F134,'Master Kode'!$B$3:$D$13,2,0)</f>
        <v>PET Blue Flakes</v>
      </c>
      <c r="H134" s="4">
        <v>2750</v>
      </c>
      <c r="I134" s="4" t="s">
        <v>9</v>
      </c>
    </row>
    <row r="135" spans="2:9">
      <c r="B135" s="4" t="s">
        <v>546</v>
      </c>
      <c r="C135" s="3">
        <f t="shared" si="2"/>
        <v>45814</v>
      </c>
      <c r="D135" s="4" t="s">
        <v>171</v>
      </c>
      <c r="E135" s="5" t="s">
        <v>16</v>
      </c>
      <c r="F135" s="4" t="s">
        <v>17</v>
      </c>
      <c r="G135" s="5" t="str">
        <f>VLOOKUP(F135,'Master Kode'!$B$3:$D$13,2,0)</f>
        <v>HDPE Mixed Color Flakes</v>
      </c>
      <c r="H135" s="4">
        <v>3025</v>
      </c>
      <c r="I135" s="4" t="s">
        <v>9</v>
      </c>
    </row>
    <row r="136" spans="2:9">
      <c r="B136" s="4" t="s">
        <v>547</v>
      </c>
      <c r="C136" s="3">
        <f t="shared" si="2"/>
        <v>45815</v>
      </c>
      <c r="D136" s="4" t="s">
        <v>172</v>
      </c>
      <c r="E136" s="5" t="s">
        <v>19</v>
      </c>
      <c r="F136" s="4" t="s">
        <v>20</v>
      </c>
      <c r="G136" s="5" t="str">
        <f>VLOOKUP(F136,'Master Kode'!$B$3:$D$13,2,0)</f>
        <v>PP Injection Flakes</v>
      </c>
      <c r="H136" s="4">
        <v>1540</v>
      </c>
      <c r="I136" s="4" t="s">
        <v>9</v>
      </c>
    </row>
    <row r="137" spans="2:9">
      <c r="B137" s="4" t="s">
        <v>548</v>
      </c>
      <c r="C137" s="3">
        <f t="shared" si="2"/>
        <v>45816</v>
      </c>
      <c r="D137" s="4" t="s">
        <v>173</v>
      </c>
      <c r="E137" s="5" t="s">
        <v>22</v>
      </c>
      <c r="F137" s="4" t="s">
        <v>23</v>
      </c>
      <c r="G137" s="5" t="str">
        <f>VLOOKUP(F137,'Master Kode'!$B$3:$D$13,2,0)</f>
        <v>PET Green Flakes</v>
      </c>
      <c r="H137" s="4">
        <v>3320</v>
      </c>
      <c r="I137" s="4" t="s">
        <v>9</v>
      </c>
    </row>
    <row r="138" spans="2:9">
      <c r="B138" s="4" t="s">
        <v>549</v>
      </c>
      <c r="C138" s="3">
        <f t="shared" si="2"/>
        <v>45817</v>
      </c>
      <c r="D138" s="4" t="s">
        <v>174</v>
      </c>
      <c r="E138" s="5" t="s">
        <v>25</v>
      </c>
      <c r="F138" s="4" t="s">
        <v>26</v>
      </c>
      <c r="G138" s="5" t="str">
        <f>VLOOKUP(F138,'Master Kode'!$B$3:$D$13,2,0)</f>
        <v>HDPE Blue Drum Flakes</v>
      </c>
      <c r="H138" s="4">
        <v>1780</v>
      </c>
      <c r="I138" s="4" t="s">
        <v>9</v>
      </c>
    </row>
    <row r="139" spans="2:9">
      <c r="B139" s="4" t="s">
        <v>550</v>
      </c>
      <c r="C139" s="3">
        <f t="shared" si="2"/>
        <v>45818</v>
      </c>
      <c r="D139" s="4" t="s">
        <v>175</v>
      </c>
      <c r="E139" s="5" t="s">
        <v>6</v>
      </c>
      <c r="F139" s="4" t="s">
        <v>28</v>
      </c>
      <c r="G139" s="5" t="str">
        <f>VLOOKUP(F139,'Master Kode'!$B$3:$D$13,2,0)</f>
        <v>PET Mixed Color Flakes</v>
      </c>
      <c r="H139" s="4">
        <v>2980</v>
      </c>
      <c r="I139" s="4" t="s">
        <v>9</v>
      </c>
    </row>
    <row r="140" spans="2:9">
      <c r="B140" s="4" t="s">
        <v>551</v>
      </c>
      <c r="C140" s="3">
        <f t="shared" si="2"/>
        <v>45819</v>
      </c>
      <c r="D140" s="4" t="s">
        <v>176</v>
      </c>
      <c r="E140" s="5" t="s">
        <v>10</v>
      </c>
      <c r="F140" s="4" t="s">
        <v>30</v>
      </c>
      <c r="G140" s="5" t="str">
        <f>VLOOKUP(F140,'Master Kode'!$B$3:$D$13,2,0)</f>
        <v>PP White Flakes</v>
      </c>
      <c r="H140" s="4">
        <v>2410</v>
      </c>
      <c r="I140" s="4" t="s">
        <v>9</v>
      </c>
    </row>
    <row r="141" spans="2:9">
      <c r="B141" s="4" t="s">
        <v>552</v>
      </c>
      <c r="C141" s="3">
        <f t="shared" si="2"/>
        <v>45820</v>
      </c>
      <c r="D141" s="4" t="s">
        <v>177</v>
      </c>
      <c r="E141" s="5" t="s">
        <v>13</v>
      </c>
      <c r="F141" s="4" t="s">
        <v>34</v>
      </c>
      <c r="G141" s="5" t="str">
        <f>VLOOKUP(F141,'Master Kode'!$B$3:$D$13,2,0)</f>
        <v>PET Hot Washed Flakes</v>
      </c>
      <c r="H141" s="4">
        <v>3650</v>
      </c>
      <c r="I141" s="4" t="s">
        <v>9</v>
      </c>
    </row>
    <row r="142" spans="2:9">
      <c r="B142" s="4" t="s">
        <v>553</v>
      </c>
      <c r="C142" s="3">
        <f t="shared" si="2"/>
        <v>45821</v>
      </c>
      <c r="D142" s="4" t="s">
        <v>178</v>
      </c>
      <c r="E142" s="5" t="s">
        <v>16</v>
      </c>
      <c r="F142" s="4" t="s">
        <v>7</v>
      </c>
      <c r="G142" s="5" t="str">
        <f>VLOOKUP(F142,'Master Kode'!$B$3:$D$13,2,0)</f>
        <v>PET Clear Flakes</v>
      </c>
      <c r="H142" s="4">
        <v>1875</v>
      </c>
      <c r="I142" s="4" t="s">
        <v>9</v>
      </c>
    </row>
    <row r="143" spans="2:9">
      <c r="B143" s="4" t="s">
        <v>554</v>
      </c>
      <c r="C143" s="3">
        <f t="shared" si="2"/>
        <v>45822</v>
      </c>
      <c r="D143" s="4" t="s">
        <v>179</v>
      </c>
      <c r="E143" s="5" t="s">
        <v>19</v>
      </c>
      <c r="F143" s="4" t="s">
        <v>14</v>
      </c>
      <c r="G143" s="5" t="str">
        <f>VLOOKUP(F143,'Master Kode'!$B$3:$D$13,2,0)</f>
        <v>HDPE Natural Flakes</v>
      </c>
      <c r="H143" s="4">
        <v>2100</v>
      </c>
      <c r="I143" s="4" t="s">
        <v>9</v>
      </c>
    </row>
    <row r="144" spans="2:9">
      <c r="B144" s="4" t="s">
        <v>555</v>
      </c>
      <c r="C144" s="3">
        <f t="shared" si="2"/>
        <v>45823</v>
      </c>
      <c r="D144" s="4" t="s">
        <v>180</v>
      </c>
      <c r="E144" s="5" t="s">
        <v>22</v>
      </c>
      <c r="F144" s="4" t="s">
        <v>17</v>
      </c>
      <c r="G144" s="5" t="str">
        <f>VLOOKUP(F144,'Master Kode'!$B$3:$D$13,2,0)</f>
        <v>HDPE Mixed Color Flakes</v>
      </c>
      <c r="H144" s="4">
        <v>2990</v>
      </c>
      <c r="I144" s="4" t="s">
        <v>9</v>
      </c>
    </row>
    <row r="145" spans="2:9">
      <c r="B145" s="4" t="s">
        <v>556</v>
      </c>
      <c r="C145" s="3">
        <f t="shared" si="2"/>
        <v>45824</v>
      </c>
      <c r="D145" s="4" t="s">
        <v>181</v>
      </c>
      <c r="E145" s="5" t="s">
        <v>25</v>
      </c>
      <c r="F145" s="4" t="s">
        <v>11</v>
      </c>
      <c r="G145" s="5" t="str">
        <f>VLOOKUP(F145,'Master Kode'!$B$3:$D$13,2,0)</f>
        <v>PET Blue Flakes</v>
      </c>
      <c r="H145" s="4">
        <v>2550</v>
      </c>
      <c r="I145" s="4" t="s">
        <v>9</v>
      </c>
    </row>
    <row r="146" spans="2:9">
      <c r="B146" s="4" t="s">
        <v>557</v>
      </c>
      <c r="C146" s="3">
        <f t="shared" si="2"/>
        <v>45825</v>
      </c>
      <c r="D146" s="4" t="s">
        <v>182</v>
      </c>
      <c r="E146" s="5" t="s">
        <v>6</v>
      </c>
      <c r="F146" s="4" t="s">
        <v>23</v>
      </c>
      <c r="G146" s="5" t="str">
        <f>VLOOKUP(F146,'Master Kode'!$B$3:$D$13,2,0)</f>
        <v>PET Green Flakes</v>
      </c>
      <c r="H146" s="4">
        <v>3210</v>
      </c>
      <c r="I146" s="4" t="s">
        <v>9</v>
      </c>
    </row>
    <row r="147" spans="2:9">
      <c r="B147" s="4" t="s">
        <v>558</v>
      </c>
      <c r="C147" s="3">
        <f t="shared" si="2"/>
        <v>45826</v>
      </c>
      <c r="D147" s="4" t="s">
        <v>183</v>
      </c>
      <c r="E147" s="5" t="s">
        <v>10</v>
      </c>
      <c r="F147" s="4" t="s">
        <v>20</v>
      </c>
      <c r="G147" s="5" t="str">
        <f>VLOOKUP(F147,'Master Kode'!$B$3:$D$13,2,0)</f>
        <v>PP Injection Flakes</v>
      </c>
      <c r="H147" s="4">
        <v>1980</v>
      </c>
      <c r="I147" s="4" t="s">
        <v>9</v>
      </c>
    </row>
    <row r="148" spans="2:9">
      <c r="B148" s="4" t="s">
        <v>559</v>
      </c>
      <c r="C148" s="3">
        <f t="shared" si="2"/>
        <v>45827</v>
      </c>
      <c r="D148" s="4" t="s">
        <v>184</v>
      </c>
      <c r="E148" s="5" t="s">
        <v>13</v>
      </c>
      <c r="F148" s="4" t="s">
        <v>26</v>
      </c>
      <c r="G148" s="5" t="str">
        <f>VLOOKUP(F148,'Master Kode'!$B$3:$D$13,2,0)</f>
        <v>HDPE Blue Drum Flakes</v>
      </c>
      <c r="H148" s="4">
        <v>1420</v>
      </c>
      <c r="I148" s="4" t="s">
        <v>9</v>
      </c>
    </row>
    <row r="149" spans="2:9">
      <c r="B149" s="4" t="s">
        <v>560</v>
      </c>
      <c r="C149" s="3">
        <f t="shared" si="2"/>
        <v>45828</v>
      </c>
      <c r="D149" s="4" t="s">
        <v>185</v>
      </c>
      <c r="E149" s="5" t="s">
        <v>16</v>
      </c>
      <c r="F149" s="4" t="s">
        <v>28</v>
      </c>
      <c r="G149" s="5" t="str">
        <f>VLOOKUP(F149,'Master Kode'!$B$3:$D$13,2,0)</f>
        <v>PET Mixed Color Flakes</v>
      </c>
      <c r="H149" s="4">
        <v>2890</v>
      </c>
      <c r="I149" s="4" t="s">
        <v>9</v>
      </c>
    </row>
    <row r="150" spans="2:9">
      <c r="B150" s="4" t="s">
        <v>561</v>
      </c>
      <c r="C150" s="3">
        <f t="shared" si="2"/>
        <v>45829</v>
      </c>
      <c r="D150" s="4" t="s">
        <v>186</v>
      </c>
      <c r="E150" s="5" t="s">
        <v>19</v>
      </c>
      <c r="F150" s="4" t="s">
        <v>30</v>
      </c>
      <c r="G150" s="5" t="str">
        <f>VLOOKUP(F150,'Master Kode'!$B$3:$D$13,2,0)</f>
        <v>PP White Flakes</v>
      </c>
      <c r="H150" s="4">
        <v>2470</v>
      </c>
      <c r="I150" s="4" t="s">
        <v>9</v>
      </c>
    </row>
    <row r="151" spans="2:9">
      <c r="B151" s="4" t="s">
        <v>562</v>
      </c>
      <c r="C151" s="3">
        <f t="shared" si="2"/>
        <v>45830</v>
      </c>
      <c r="D151" s="4" t="s">
        <v>187</v>
      </c>
      <c r="E151" s="5" t="s">
        <v>22</v>
      </c>
      <c r="F151" s="4" t="s">
        <v>34</v>
      </c>
      <c r="G151" s="5" t="str">
        <f>VLOOKUP(F151,'Master Kode'!$B$3:$D$13,2,0)</f>
        <v>PET Hot Washed Flakes</v>
      </c>
      <c r="H151" s="4">
        <v>3750</v>
      </c>
      <c r="I151" s="4" t="s">
        <v>9</v>
      </c>
    </row>
    <row r="152" spans="2:9">
      <c r="B152" s="4" t="s">
        <v>563</v>
      </c>
      <c r="C152" s="3">
        <f t="shared" si="2"/>
        <v>45831</v>
      </c>
      <c r="D152" s="4" t="s">
        <v>188</v>
      </c>
      <c r="E152" s="5" t="s">
        <v>25</v>
      </c>
      <c r="F152" s="4" t="s">
        <v>7</v>
      </c>
      <c r="G152" s="5" t="str">
        <f>VLOOKUP(F152,'Master Kode'!$B$3:$D$13,2,0)</f>
        <v>PET Clear Flakes</v>
      </c>
      <c r="H152" s="4">
        <v>2230</v>
      </c>
      <c r="I152" s="4" t="s">
        <v>9</v>
      </c>
    </row>
    <row r="153" spans="2:9">
      <c r="B153" s="4" t="s">
        <v>564</v>
      </c>
      <c r="C153" s="3">
        <f t="shared" si="2"/>
        <v>45832</v>
      </c>
      <c r="D153" s="4" t="s">
        <v>189</v>
      </c>
      <c r="E153" s="5" t="s">
        <v>6</v>
      </c>
      <c r="F153" s="4" t="s">
        <v>14</v>
      </c>
      <c r="G153" s="5" t="str">
        <f>VLOOKUP(F153,'Master Kode'!$B$3:$D$13,2,0)</f>
        <v>HDPE Natural Flakes</v>
      </c>
      <c r="H153" s="4">
        <v>2680</v>
      </c>
      <c r="I153" s="4" t="s">
        <v>9</v>
      </c>
    </row>
    <row r="154" spans="2:9">
      <c r="B154" s="4" t="s">
        <v>565</v>
      </c>
      <c r="C154" s="3">
        <f t="shared" si="2"/>
        <v>45833</v>
      </c>
      <c r="D154" s="4" t="s">
        <v>190</v>
      </c>
      <c r="E154" s="5" t="s">
        <v>10</v>
      </c>
      <c r="F154" s="4" t="s">
        <v>17</v>
      </c>
      <c r="G154" s="5" t="str">
        <f>VLOOKUP(F154,'Master Kode'!$B$3:$D$13,2,0)</f>
        <v>HDPE Mixed Color Flakes</v>
      </c>
      <c r="H154" s="4">
        <v>3140</v>
      </c>
      <c r="I154" s="4" t="s">
        <v>9</v>
      </c>
    </row>
    <row r="155" spans="2:9">
      <c r="B155" s="4" t="s">
        <v>566</v>
      </c>
      <c r="C155" s="3">
        <f t="shared" si="2"/>
        <v>45834</v>
      </c>
      <c r="D155" s="4" t="s">
        <v>191</v>
      </c>
      <c r="E155" s="5" t="s">
        <v>13</v>
      </c>
      <c r="F155" s="4" t="s">
        <v>23</v>
      </c>
      <c r="G155" s="5" t="str">
        <f>VLOOKUP(F155,'Master Kode'!$B$3:$D$13,2,0)</f>
        <v>PET Green Flakes</v>
      </c>
      <c r="H155" s="4">
        <v>2980</v>
      </c>
      <c r="I155" s="4" t="s">
        <v>9</v>
      </c>
    </row>
    <row r="156" spans="2:9">
      <c r="B156" s="4" t="s">
        <v>567</v>
      </c>
      <c r="C156" s="3">
        <f t="shared" si="2"/>
        <v>45835</v>
      </c>
      <c r="D156" s="4" t="s">
        <v>192</v>
      </c>
      <c r="E156" s="5" t="s">
        <v>16</v>
      </c>
      <c r="F156" s="4" t="s">
        <v>20</v>
      </c>
      <c r="G156" s="5" t="str">
        <f>VLOOKUP(F156,'Master Kode'!$B$3:$D$13,2,0)</f>
        <v>PP Injection Flakes</v>
      </c>
      <c r="H156" s="4">
        <v>1850</v>
      </c>
      <c r="I156" s="4" t="s">
        <v>9</v>
      </c>
    </row>
    <row r="157" spans="2:9">
      <c r="B157" s="4" t="s">
        <v>568</v>
      </c>
      <c r="C157" s="3">
        <f t="shared" si="2"/>
        <v>45836</v>
      </c>
      <c r="D157" s="4" t="s">
        <v>193</v>
      </c>
      <c r="E157" s="5" t="s">
        <v>19</v>
      </c>
      <c r="F157" s="4" t="s">
        <v>26</v>
      </c>
      <c r="G157" s="5" t="str">
        <f>VLOOKUP(F157,'Master Kode'!$B$3:$D$13,2,0)</f>
        <v>HDPE Blue Drum Flakes</v>
      </c>
      <c r="H157" s="4">
        <v>2360</v>
      </c>
      <c r="I157" s="4" t="s">
        <v>9</v>
      </c>
    </row>
    <row r="158" spans="2:9">
      <c r="B158" s="4" t="s">
        <v>404</v>
      </c>
      <c r="C158" s="3">
        <f t="shared" si="2"/>
        <v>45841</v>
      </c>
      <c r="D158" s="4" t="s">
        <v>194</v>
      </c>
      <c r="E158" s="5" t="s">
        <v>6</v>
      </c>
      <c r="F158" s="4" t="s">
        <v>7</v>
      </c>
      <c r="G158" s="5" t="str">
        <f>VLOOKUP(F158,'Master Kode'!$B$3:$D$13,2,0)</f>
        <v>PET Clear Flakes</v>
      </c>
      <c r="H158" s="4">
        <v>2450</v>
      </c>
      <c r="I158" s="4" t="s">
        <v>9</v>
      </c>
    </row>
    <row r="159" spans="2:9">
      <c r="B159" s="4" t="s">
        <v>405</v>
      </c>
      <c r="C159" s="3">
        <f t="shared" si="2"/>
        <v>45842</v>
      </c>
      <c r="D159" s="4" t="s">
        <v>195</v>
      </c>
      <c r="E159" s="5" t="s">
        <v>10</v>
      </c>
      <c r="F159" s="4" t="s">
        <v>11</v>
      </c>
      <c r="G159" s="5" t="str">
        <f>VLOOKUP(F159,'Master Kode'!$B$3:$D$13,2,0)</f>
        <v>PET Blue Flakes</v>
      </c>
      <c r="H159" s="4">
        <v>3100</v>
      </c>
      <c r="I159" s="4" t="s">
        <v>9</v>
      </c>
    </row>
    <row r="160" spans="2:9">
      <c r="B160" s="4" t="s">
        <v>569</v>
      </c>
      <c r="C160" s="3">
        <f t="shared" si="2"/>
        <v>45842</v>
      </c>
      <c r="D160" s="4" t="s">
        <v>196</v>
      </c>
      <c r="E160" s="5" t="s">
        <v>13</v>
      </c>
      <c r="F160" s="4" t="s">
        <v>14</v>
      </c>
      <c r="G160" s="5" t="str">
        <f>VLOOKUP(F160,'Master Kode'!$B$3:$D$13,2,0)</f>
        <v>HDPE Natural Flakes</v>
      </c>
      <c r="H160" s="4">
        <v>1980</v>
      </c>
      <c r="I160" s="4" t="s">
        <v>9</v>
      </c>
    </row>
    <row r="161" spans="2:9">
      <c r="B161" s="4" t="s">
        <v>570</v>
      </c>
      <c r="C161" s="3">
        <f t="shared" si="2"/>
        <v>45843</v>
      </c>
      <c r="D161" s="4" t="s">
        <v>197</v>
      </c>
      <c r="E161" s="5" t="s">
        <v>16</v>
      </c>
      <c r="F161" s="4" t="s">
        <v>17</v>
      </c>
      <c r="G161" s="5" t="str">
        <f>VLOOKUP(F161,'Master Kode'!$B$3:$D$13,2,0)</f>
        <v>HDPE Mixed Color Flakes</v>
      </c>
      <c r="H161" s="4">
        <v>2875</v>
      </c>
      <c r="I161" s="4" t="s">
        <v>9</v>
      </c>
    </row>
    <row r="162" spans="2:9">
      <c r="B162" s="4" t="s">
        <v>571</v>
      </c>
      <c r="C162" s="3">
        <f t="shared" si="2"/>
        <v>45843</v>
      </c>
      <c r="D162" s="4" t="s">
        <v>198</v>
      </c>
      <c r="E162" s="5" t="s">
        <v>19</v>
      </c>
      <c r="F162" s="4" t="s">
        <v>20</v>
      </c>
      <c r="G162" s="5" t="str">
        <f>VLOOKUP(F162,'Master Kode'!$B$3:$D$13,2,0)</f>
        <v>PP Injection Flakes</v>
      </c>
      <c r="H162" s="4">
        <v>1650</v>
      </c>
      <c r="I162" s="4" t="s">
        <v>9</v>
      </c>
    </row>
    <row r="163" spans="2:9">
      <c r="B163" s="4" t="s">
        <v>572</v>
      </c>
      <c r="C163" s="3">
        <f t="shared" si="2"/>
        <v>45844</v>
      </c>
      <c r="D163" s="4" t="s">
        <v>199</v>
      </c>
      <c r="E163" s="5" t="s">
        <v>22</v>
      </c>
      <c r="F163" s="4" t="s">
        <v>23</v>
      </c>
      <c r="G163" s="5" t="str">
        <f>VLOOKUP(F163,'Master Kode'!$B$3:$D$13,2,0)</f>
        <v>PET Green Flakes</v>
      </c>
      <c r="H163" s="4">
        <v>3420</v>
      </c>
      <c r="I163" s="4" t="s">
        <v>9</v>
      </c>
    </row>
    <row r="164" spans="2:9">
      <c r="B164" s="4" t="s">
        <v>573</v>
      </c>
      <c r="C164" s="3">
        <f t="shared" si="2"/>
        <v>45844</v>
      </c>
      <c r="D164" s="4" t="s">
        <v>200</v>
      </c>
      <c r="E164" s="5" t="s">
        <v>25</v>
      </c>
      <c r="F164" s="4" t="s">
        <v>26</v>
      </c>
      <c r="G164" s="5" t="str">
        <f>VLOOKUP(F164,'Master Kode'!$B$3:$D$13,2,0)</f>
        <v>HDPE Blue Drum Flakes</v>
      </c>
      <c r="H164" s="4">
        <v>2210</v>
      </c>
      <c r="I164" s="4" t="s">
        <v>9</v>
      </c>
    </row>
    <row r="165" spans="2:9">
      <c r="B165" s="4" t="s">
        <v>574</v>
      </c>
      <c r="C165" s="3">
        <f t="shared" si="2"/>
        <v>45845</v>
      </c>
      <c r="D165" s="4" t="s">
        <v>201</v>
      </c>
      <c r="E165" s="5" t="s">
        <v>6</v>
      </c>
      <c r="F165" s="4" t="s">
        <v>28</v>
      </c>
      <c r="G165" s="5" t="str">
        <f>VLOOKUP(F165,'Master Kode'!$B$3:$D$13,2,0)</f>
        <v>PET Mixed Color Flakes</v>
      </c>
      <c r="H165" s="4">
        <v>3150</v>
      </c>
      <c r="I165" s="4" t="s">
        <v>9</v>
      </c>
    </row>
    <row r="166" spans="2:9">
      <c r="B166" s="4" t="s">
        <v>575</v>
      </c>
      <c r="C166" s="3">
        <f t="shared" si="2"/>
        <v>45845</v>
      </c>
      <c r="D166" s="4" t="s">
        <v>202</v>
      </c>
      <c r="E166" s="5" t="s">
        <v>10</v>
      </c>
      <c r="F166" s="4" t="s">
        <v>7</v>
      </c>
      <c r="G166" s="5" t="str">
        <f>VLOOKUP(F166,'Master Kode'!$B$3:$D$13,2,0)</f>
        <v>PET Clear Flakes</v>
      </c>
      <c r="H166" s="4">
        <v>1890</v>
      </c>
      <c r="I166" s="4" t="s">
        <v>9</v>
      </c>
    </row>
    <row r="167" spans="2:9">
      <c r="B167" s="4" t="s">
        <v>576</v>
      </c>
      <c r="C167" s="3">
        <f t="shared" si="2"/>
        <v>45846</v>
      </c>
      <c r="D167" s="4" t="s">
        <v>203</v>
      </c>
      <c r="E167" s="5" t="s">
        <v>13</v>
      </c>
      <c r="F167" s="4" t="s">
        <v>14</v>
      </c>
      <c r="G167" s="5" t="str">
        <f>VLOOKUP(F167,'Master Kode'!$B$3:$D$13,2,0)</f>
        <v>HDPE Natural Flakes</v>
      </c>
      <c r="H167" s="4">
        <v>2765</v>
      </c>
      <c r="I167" s="4" t="s">
        <v>9</v>
      </c>
    </row>
    <row r="168" spans="2:9">
      <c r="B168" s="4" t="s">
        <v>577</v>
      </c>
      <c r="C168" s="3">
        <f t="shared" si="2"/>
        <v>45846</v>
      </c>
      <c r="D168" s="4" t="s">
        <v>204</v>
      </c>
      <c r="E168" s="5" t="s">
        <v>16</v>
      </c>
      <c r="F168" s="4" t="s">
        <v>32</v>
      </c>
      <c r="G168" s="5" t="str">
        <f>VLOOKUP(F168,'Master Kode'!$B$3:$D$13,2,0)</f>
        <v>HDPE Bottle Cap Flakes</v>
      </c>
      <c r="H168" s="4">
        <v>2050</v>
      </c>
      <c r="I168" s="4" t="s">
        <v>9</v>
      </c>
    </row>
    <row r="169" spans="2:9">
      <c r="B169" s="4" t="s">
        <v>578</v>
      </c>
      <c r="C169" s="3">
        <f t="shared" si="2"/>
        <v>45846</v>
      </c>
      <c r="D169" s="4" t="s">
        <v>205</v>
      </c>
      <c r="E169" s="5" t="s">
        <v>19</v>
      </c>
      <c r="F169" s="4" t="s">
        <v>30</v>
      </c>
      <c r="G169" s="5" t="str">
        <f>VLOOKUP(F169,'Master Kode'!$B$3:$D$13,2,0)</f>
        <v>PP White Flakes</v>
      </c>
      <c r="H169" s="4">
        <v>2950</v>
      </c>
      <c r="I169" s="4" t="s">
        <v>9</v>
      </c>
    </row>
    <row r="170" spans="2:9">
      <c r="B170" s="4" t="s">
        <v>579</v>
      </c>
      <c r="C170" s="3">
        <f t="shared" si="2"/>
        <v>45847</v>
      </c>
      <c r="D170" s="4" t="s">
        <v>206</v>
      </c>
      <c r="E170" s="5" t="s">
        <v>22</v>
      </c>
      <c r="F170" s="4" t="s">
        <v>11</v>
      </c>
      <c r="G170" s="5" t="str">
        <f>VLOOKUP(F170,'Master Kode'!$B$3:$D$13,2,0)</f>
        <v>PET Blue Flakes</v>
      </c>
      <c r="H170" s="4">
        <v>3120</v>
      </c>
      <c r="I170" s="4" t="s">
        <v>9</v>
      </c>
    </row>
    <row r="171" spans="2:9">
      <c r="B171" s="4" t="s">
        <v>580</v>
      </c>
      <c r="C171" s="3">
        <f t="shared" si="2"/>
        <v>45847</v>
      </c>
      <c r="D171" s="4" t="s">
        <v>207</v>
      </c>
      <c r="E171" s="5" t="s">
        <v>25</v>
      </c>
      <c r="F171" s="4" t="s">
        <v>34</v>
      </c>
      <c r="G171" s="5" t="str">
        <f>VLOOKUP(F171,'Master Kode'!$B$3:$D$13,2,0)</f>
        <v>PET Hot Washed Flakes</v>
      </c>
      <c r="H171" s="4">
        <v>2550</v>
      </c>
      <c r="I171" s="4" t="s">
        <v>9</v>
      </c>
    </row>
    <row r="172" spans="2:9">
      <c r="B172" s="4" t="s">
        <v>581</v>
      </c>
      <c r="C172" s="3">
        <f t="shared" si="2"/>
        <v>45848</v>
      </c>
      <c r="D172" s="4" t="s">
        <v>208</v>
      </c>
      <c r="E172" s="5" t="s">
        <v>6</v>
      </c>
      <c r="F172" s="4" t="s">
        <v>17</v>
      </c>
      <c r="G172" s="5" t="str">
        <f>VLOOKUP(F172,'Master Kode'!$B$3:$D$13,2,0)</f>
        <v>HDPE Mixed Color Flakes</v>
      </c>
      <c r="H172" s="4">
        <v>3400</v>
      </c>
      <c r="I172" s="4" t="s">
        <v>9</v>
      </c>
    </row>
    <row r="173" spans="2:9">
      <c r="B173" s="4" t="s">
        <v>582</v>
      </c>
      <c r="C173" s="3">
        <f t="shared" si="2"/>
        <v>45848</v>
      </c>
      <c r="D173" s="4" t="s">
        <v>209</v>
      </c>
      <c r="E173" s="5" t="s">
        <v>10</v>
      </c>
      <c r="F173" s="4" t="s">
        <v>7</v>
      </c>
      <c r="G173" s="5" t="str">
        <f>VLOOKUP(F173,'Master Kode'!$B$3:$D$13,2,0)</f>
        <v>PET Clear Flakes</v>
      </c>
      <c r="H173" s="4">
        <v>2750</v>
      </c>
      <c r="I173" s="4" t="s">
        <v>9</v>
      </c>
    </row>
    <row r="174" spans="2:9">
      <c r="B174" s="4" t="s">
        <v>583</v>
      </c>
      <c r="C174" s="3">
        <f t="shared" si="2"/>
        <v>45849</v>
      </c>
      <c r="D174" s="4" t="s">
        <v>210</v>
      </c>
      <c r="E174" s="5" t="s">
        <v>13</v>
      </c>
      <c r="F174" s="4" t="s">
        <v>23</v>
      </c>
      <c r="G174" s="5" t="str">
        <f>VLOOKUP(F174,'Master Kode'!$B$3:$D$13,2,0)</f>
        <v>PET Green Flakes</v>
      </c>
      <c r="H174" s="4">
        <v>3105</v>
      </c>
      <c r="I174" s="4" t="s">
        <v>9</v>
      </c>
    </row>
    <row r="175" spans="2:9">
      <c r="B175" s="4" t="s">
        <v>584</v>
      </c>
      <c r="C175" s="3">
        <f t="shared" si="2"/>
        <v>45850</v>
      </c>
      <c r="D175" s="4" t="s">
        <v>211</v>
      </c>
      <c r="E175" s="5" t="s">
        <v>16</v>
      </c>
      <c r="F175" s="4" t="s">
        <v>14</v>
      </c>
      <c r="G175" s="5" t="str">
        <f>VLOOKUP(F175,'Master Kode'!$B$3:$D$13,2,0)</f>
        <v>HDPE Natural Flakes</v>
      </c>
      <c r="H175" s="4">
        <v>2250</v>
      </c>
      <c r="I175" s="4" t="s">
        <v>9</v>
      </c>
    </row>
    <row r="176" spans="2:9">
      <c r="B176" s="4" t="s">
        <v>585</v>
      </c>
      <c r="C176" s="3">
        <f t="shared" si="2"/>
        <v>45851</v>
      </c>
      <c r="D176" s="4" t="s">
        <v>212</v>
      </c>
      <c r="E176" s="5" t="s">
        <v>19</v>
      </c>
      <c r="F176" s="4" t="s">
        <v>20</v>
      </c>
      <c r="G176" s="5" t="str">
        <f>VLOOKUP(F176,'Master Kode'!$B$3:$D$13,2,0)</f>
        <v>PP Injection Flakes</v>
      </c>
      <c r="H176" s="4">
        <v>3325</v>
      </c>
      <c r="I176" s="4" t="s">
        <v>9</v>
      </c>
    </row>
    <row r="177" spans="2:9">
      <c r="B177" s="4" t="s">
        <v>586</v>
      </c>
      <c r="C177" s="3">
        <f t="shared" si="2"/>
        <v>45852</v>
      </c>
      <c r="D177" s="4" t="s">
        <v>213</v>
      </c>
      <c r="E177" s="5" t="s">
        <v>22</v>
      </c>
      <c r="F177" s="4" t="s">
        <v>28</v>
      </c>
      <c r="G177" s="5" t="str">
        <f>VLOOKUP(F177,'Master Kode'!$B$3:$D$13,2,0)</f>
        <v>PET Mixed Color Flakes</v>
      </c>
      <c r="H177" s="4">
        <v>2870</v>
      </c>
      <c r="I177" s="4" t="s">
        <v>9</v>
      </c>
    </row>
    <row r="178" spans="2:9">
      <c r="B178" s="4" t="s">
        <v>587</v>
      </c>
      <c r="C178" s="3">
        <f t="shared" si="2"/>
        <v>45853</v>
      </c>
      <c r="D178" s="4" t="s">
        <v>214</v>
      </c>
      <c r="E178" s="5" t="s">
        <v>25</v>
      </c>
      <c r="F178" s="4" t="s">
        <v>11</v>
      </c>
      <c r="G178" s="5" t="str">
        <f>VLOOKUP(F178,'Master Kode'!$B$3:$D$13,2,0)</f>
        <v>PET Blue Flakes</v>
      </c>
      <c r="H178" s="4">
        <v>3200</v>
      </c>
      <c r="I178" s="4" t="s">
        <v>9</v>
      </c>
    </row>
    <row r="179" spans="2:9">
      <c r="B179" s="4" t="s">
        <v>588</v>
      </c>
      <c r="C179" s="3">
        <f t="shared" si="2"/>
        <v>45854</v>
      </c>
      <c r="D179" s="4" t="s">
        <v>215</v>
      </c>
      <c r="E179" s="5" t="s">
        <v>6</v>
      </c>
      <c r="F179" s="4" t="s">
        <v>34</v>
      </c>
      <c r="G179" s="5" t="str">
        <f>VLOOKUP(F179,'Master Kode'!$B$3:$D$13,2,0)</f>
        <v>PET Hot Washed Flakes</v>
      </c>
      <c r="H179" s="4">
        <v>2650</v>
      </c>
      <c r="I179" s="4" t="s">
        <v>9</v>
      </c>
    </row>
    <row r="180" spans="2:9">
      <c r="B180" s="4" t="s">
        <v>589</v>
      </c>
      <c r="C180" s="3">
        <f t="shared" si="2"/>
        <v>45855</v>
      </c>
      <c r="D180" s="4" t="s">
        <v>216</v>
      </c>
      <c r="E180" s="5" t="s">
        <v>10</v>
      </c>
      <c r="F180" s="4" t="s">
        <v>32</v>
      </c>
      <c r="G180" s="5" t="str">
        <f>VLOOKUP(F180,'Master Kode'!$B$3:$D$13,2,0)</f>
        <v>HDPE Bottle Cap Flakes</v>
      </c>
      <c r="H180" s="4">
        <v>2100</v>
      </c>
      <c r="I180" s="4" t="s">
        <v>9</v>
      </c>
    </row>
    <row r="181" spans="2:9">
      <c r="B181" s="4" t="s">
        <v>590</v>
      </c>
      <c r="C181" s="3">
        <f t="shared" si="2"/>
        <v>45856</v>
      </c>
      <c r="D181" s="4" t="s">
        <v>217</v>
      </c>
      <c r="E181" s="5" t="s">
        <v>13</v>
      </c>
      <c r="F181" s="4" t="s">
        <v>14</v>
      </c>
      <c r="G181" s="5" t="str">
        <f>VLOOKUP(F181,'Master Kode'!$B$3:$D$13,2,0)</f>
        <v>HDPE Natural Flakes</v>
      </c>
      <c r="H181" s="4">
        <v>2980</v>
      </c>
      <c r="I181" s="4" t="s">
        <v>9</v>
      </c>
    </row>
    <row r="182" spans="2:9">
      <c r="B182" s="4" t="s">
        <v>591</v>
      </c>
      <c r="C182" s="3">
        <f t="shared" si="2"/>
        <v>45857</v>
      </c>
      <c r="D182" s="4" t="s">
        <v>218</v>
      </c>
      <c r="E182" s="5" t="s">
        <v>16</v>
      </c>
      <c r="F182" s="4" t="s">
        <v>23</v>
      </c>
      <c r="G182" s="5" t="str">
        <f>VLOOKUP(F182,'Master Kode'!$B$3:$D$13,2,0)</f>
        <v>PET Green Flakes</v>
      </c>
      <c r="H182" s="4">
        <v>3450</v>
      </c>
      <c r="I182" s="4" t="s">
        <v>9</v>
      </c>
    </row>
    <row r="183" spans="2:9">
      <c r="B183" s="4" t="s">
        <v>592</v>
      </c>
      <c r="C183" s="3">
        <f t="shared" si="2"/>
        <v>45858</v>
      </c>
      <c r="D183" s="4" t="s">
        <v>219</v>
      </c>
      <c r="E183" s="5" t="s">
        <v>19</v>
      </c>
      <c r="F183" s="4" t="s">
        <v>20</v>
      </c>
      <c r="G183" s="5" t="str">
        <f>VLOOKUP(F183,'Master Kode'!$B$3:$D$13,2,0)</f>
        <v>PP Injection Flakes</v>
      </c>
      <c r="H183" s="4">
        <v>3100</v>
      </c>
      <c r="I183" s="4" t="s">
        <v>9</v>
      </c>
    </row>
    <row r="184" spans="2:9">
      <c r="B184" s="4" t="s">
        <v>593</v>
      </c>
      <c r="C184" s="3">
        <f t="shared" si="2"/>
        <v>45872</v>
      </c>
      <c r="D184" s="4" t="s">
        <v>220</v>
      </c>
      <c r="E184" s="5" t="s">
        <v>6</v>
      </c>
      <c r="F184" s="4" t="s">
        <v>7</v>
      </c>
      <c r="G184" s="5" t="str">
        <f>VLOOKUP(F184,'Master Kode'!$B$3:$D$13,2,0)</f>
        <v>PET Clear Flakes</v>
      </c>
      <c r="H184" s="4">
        <v>2500</v>
      </c>
      <c r="I184" s="4" t="s">
        <v>9</v>
      </c>
    </row>
    <row r="185" spans="2:9">
      <c r="B185" s="4" t="s">
        <v>594</v>
      </c>
      <c r="C185" s="3">
        <f t="shared" si="2"/>
        <v>45873</v>
      </c>
      <c r="D185" s="4" t="s">
        <v>221</v>
      </c>
      <c r="E185" s="5" t="s">
        <v>10</v>
      </c>
      <c r="F185" s="4" t="s">
        <v>11</v>
      </c>
      <c r="G185" s="5" t="str">
        <f>VLOOKUP(F185,'Master Kode'!$B$3:$D$13,2,0)</f>
        <v>PET Blue Flakes</v>
      </c>
      <c r="H185" s="4">
        <v>3100</v>
      </c>
      <c r="I185" s="4" t="s">
        <v>9</v>
      </c>
    </row>
    <row r="186" spans="2:9">
      <c r="B186" s="4" t="s">
        <v>595</v>
      </c>
      <c r="C186" s="3">
        <f t="shared" si="2"/>
        <v>45874</v>
      </c>
      <c r="D186" s="4" t="s">
        <v>222</v>
      </c>
      <c r="E186" s="5" t="s">
        <v>13</v>
      </c>
      <c r="F186" s="4" t="s">
        <v>14</v>
      </c>
      <c r="G186" s="5" t="str">
        <f>VLOOKUP(F186,'Master Kode'!$B$3:$D$13,2,0)</f>
        <v>HDPE Natural Flakes</v>
      </c>
      <c r="H186" s="4">
        <v>2200</v>
      </c>
      <c r="I186" s="4" t="s">
        <v>9</v>
      </c>
    </row>
    <row r="187" spans="2:9">
      <c r="B187" s="4" t="s">
        <v>596</v>
      </c>
      <c r="C187" s="3">
        <f t="shared" si="2"/>
        <v>45875</v>
      </c>
      <c r="D187" s="4" t="s">
        <v>223</v>
      </c>
      <c r="E187" s="5" t="s">
        <v>16</v>
      </c>
      <c r="F187" s="4" t="s">
        <v>17</v>
      </c>
      <c r="G187" s="5" t="str">
        <f>VLOOKUP(F187,'Master Kode'!$B$3:$D$13,2,0)</f>
        <v>HDPE Mixed Color Flakes</v>
      </c>
      <c r="H187" s="4">
        <v>1850</v>
      </c>
      <c r="I187" s="4" t="s">
        <v>9</v>
      </c>
    </row>
    <row r="188" spans="2:9">
      <c r="B188" s="4" t="s">
        <v>597</v>
      </c>
      <c r="C188" s="3">
        <f t="shared" si="2"/>
        <v>45876</v>
      </c>
      <c r="D188" s="4" t="s">
        <v>224</v>
      </c>
      <c r="E188" s="5" t="s">
        <v>19</v>
      </c>
      <c r="F188" s="4" t="s">
        <v>20</v>
      </c>
      <c r="G188" s="5" t="str">
        <f>VLOOKUP(F188,'Master Kode'!$B$3:$D$13,2,0)</f>
        <v>PP Injection Flakes</v>
      </c>
      <c r="H188" s="4">
        <v>2950</v>
      </c>
      <c r="I188" s="4" t="s">
        <v>9</v>
      </c>
    </row>
    <row r="189" spans="2:9">
      <c r="B189" s="4" t="s">
        <v>598</v>
      </c>
      <c r="C189" s="3">
        <f t="shared" si="2"/>
        <v>45877</v>
      </c>
      <c r="D189" s="4" t="s">
        <v>225</v>
      </c>
      <c r="E189" s="5" t="s">
        <v>22</v>
      </c>
      <c r="F189" s="4" t="s">
        <v>23</v>
      </c>
      <c r="G189" s="5" t="str">
        <f>VLOOKUP(F189,'Master Kode'!$B$3:$D$13,2,0)</f>
        <v>PET Green Flakes</v>
      </c>
      <c r="H189" s="4">
        <v>2700</v>
      </c>
      <c r="I189" s="4" t="s">
        <v>9</v>
      </c>
    </row>
    <row r="190" spans="2:9">
      <c r="B190" s="4" t="s">
        <v>599</v>
      </c>
      <c r="C190" s="3">
        <f t="shared" si="2"/>
        <v>45878</v>
      </c>
      <c r="D190" s="4" t="s">
        <v>226</v>
      </c>
      <c r="E190" s="5" t="s">
        <v>25</v>
      </c>
      <c r="F190" s="4" t="s">
        <v>26</v>
      </c>
      <c r="G190" s="5" t="str">
        <f>VLOOKUP(F190,'Master Kode'!$B$3:$D$13,2,0)</f>
        <v>HDPE Blue Drum Flakes</v>
      </c>
      <c r="H190" s="4">
        <v>1650</v>
      </c>
      <c r="I190" s="4" t="s">
        <v>9</v>
      </c>
    </row>
    <row r="191" spans="2:9">
      <c r="B191" s="4" t="s">
        <v>600</v>
      </c>
      <c r="C191" s="3">
        <f t="shared" si="2"/>
        <v>45879</v>
      </c>
      <c r="D191" s="4" t="s">
        <v>227</v>
      </c>
      <c r="E191" s="5" t="s">
        <v>6</v>
      </c>
      <c r="F191" s="4" t="s">
        <v>28</v>
      </c>
      <c r="G191" s="5" t="str">
        <f>VLOOKUP(F191,'Master Kode'!$B$3:$D$13,2,0)</f>
        <v>PET Mixed Color Flakes</v>
      </c>
      <c r="H191" s="4">
        <v>2100</v>
      </c>
      <c r="I191" s="4" t="s">
        <v>9</v>
      </c>
    </row>
    <row r="192" spans="2:9">
      <c r="B192" s="4" t="s">
        <v>601</v>
      </c>
      <c r="C192" s="3">
        <f t="shared" si="2"/>
        <v>45880</v>
      </c>
      <c r="D192" s="4" t="s">
        <v>228</v>
      </c>
      <c r="E192" s="5" t="s">
        <v>10</v>
      </c>
      <c r="F192" s="4" t="s">
        <v>30</v>
      </c>
      <c r="G192" s="5" t="str">
        <f>VLOOKUP(F192,'Master Kode'!$B$3:$D$13,2,0)</f>
        <v>PP White Flakes</v>
      </c>
      <c r="H192" s="4">
        <v>3250</v>
      </c>
      <c r="I192" s="4" t="s">
        <v>9</v>
      </c>
    </row>
    <row r="193" spans="2:9">
      <c r="B193" s="4" t="s">
        <v>602</v>
      </c>
      <c r="C193" s="3">
        <f t="shared" si="2"/>
        <v>45881</v>
      </c>
      <c r="D193" s="4" t="s">
        <v>229</v>
      </c>
      <c r="E193" s="5" t="s">
        <v>13</v>
      </c>
      <c r="F193" s="4" t="s">
        <v>32</v>
      </c>
      <c r="G193" s="5" t="str">
        <f>VLOOKUP(F193,'Master Kode'!$B$3:$D$13,2,0)</f>
        <v>HDPE Bottle Cap Flakes</v>
      </c>
      <c r="H193" s="4">
        <v>2800</v>
      </c>
      <c r="I193" s="4" t="s">
        <v>9</v>
      </c>
    </row>
    <row r="194" spans="2:9">
      <c r="B194" s="4" t="s">
        <v>603</v>
      </c>
      <c r="C194" s="3">
        <f t="shared" si="2"/>
        <v>45882</v>
      </c>
      <c r="D194" s="4" t="s">
        <v>230</v>
      </c>
      <c r="E194" s="5" t="s">
        <v>16</v>
      </c>
      <c r="F194" s="4" t="s">
        <v>34</v>
      </c>
      <c r="G194" s="5" t="str">
        <f>VLOOKUP(F194,'Master Kode'!$B$3:$D$13,2,0)</f>
        <v>PET Hot Washed Flakes</v>
      </c>
      <c r="H194" s="4">
        <v>3400</v>
      </c>
      <c r="I194" s="4" t="s">
        <v>9</v>
      </c>
    </row>
    <row r="195" spans="2:9">
      <c r="B195" s="4" t="s">
        <v>604</v>
      </c>
      <c r="C195" s="3">
        <f t="shared" si="2"/>
        <v>45883</v>
      </c>
      <c r="D195" s="4" t="s">
        <v>231</v>
      </c>
      <c r="E195" s="5" t="s">
        <v>19</v>
      </c>
      <c r="F195" s="4" t="s">
        <v>7</v>
      </c>
      <c r="G195" s="5" t="str">
        <f>VLOOKUP(F195,'Master Kode'!$B$3:$D$13,2,0)</f>
        <v>PET Clear Flakes</v>
      </c>
      <c r="H195" s="4">
        <v>2600</v>
      </c>
      <c r="I195" s="4" t="s">
        <v>9</v>
      </c>
    </row>
    <row r="196" spans="2:9">
      <c r="B196" s="4" t="s">
        <v>605</v>
      </c>
      <c r="C196" s="3">
        <f t="shared" ref="C196:C259" si="3">DATE(2000+MID(B196,7,2),MID(B196,5,2),MID(B196,3,2))</f>
        <v>45884</v>
      </c>
      <c r="D196" s="4" t="s">
        <v>232</v>
      </c>
      <c r="E196" s="5" t="s">
        <v>22</v>
      </c>
      <c r="F196" s="4" t="s">
        <v>14</v>
      </c>
      <c r="G196" s="5" t="str">
        <f>VLOOKUP(F196,'Master Kode'!$B$3:$D$13,2,0)</f>
        <v>HDPE Natural Flakes</v>
      </c>
      <c r="H196" s="4">
        <v>2300</v>
      </c>
      <c r="I196" s="4" t="s">
        <v>9</v>
      </c>
    </row>
    <row r="197" spans="2:9">
      <c r="B197" s="4" t="s">
        <v>606</v>
      </c>
      <c r="C197" s="3">
        <f t="shared" si="3"/>
        <v>45885</v>
      </c>
      <c r="D197" s="4" t="s">
        <v>233</v>
      </c>
      <c r="E197" s="5" t="s">
        <v>25</v>
      </c>
      <c r="F197" s="4" t="s">
        <v>20</v>
      </c>
      <c r="G197" s="5" t="str">
        <f>VLOOKUP(F197,'Master Kode'!$B$3:$D$13,2,0)</f>
        <v>PP Injection Flakes</v>
      </c>
      <c r="H197" s="4">
        <v>2900</v>
      </c>
      <c r="I197" s="4" t="s">
        <v>9</v>
      </c>
    </row>
    <row r="198" spans="2:9">
      <c r="B198" s="4" t="s">
        <v>607</v>
      </c>
      <c r="C198" s="3">
        <f t="shared" si="3"/>
        <v>45886</v>
      </c>
      <c r="D198" s="4" t="s">
        <v>234</v>
      </c>
      <c r="E198" s="5" t="s">
        <v>6</v>
      </c>
      <c r="F198" s="4" t="s">
        <v>11</v>
      </c>
      <c r="G198" s="5" t="str">
        <f>VLOOKUP(F198,'Master Kode'!$B$3:$D$13,2,0)</f>
        <v>PET Blue Flakes</v>
      </c>
      <c r="H198" s="4">
        <v>3100</v>
      </c>
      <c r="I198" s="4" t="s">
        <v>9</v>
      </c>
    </row>
    <row r="199" spans="2:9">
      <c r="B199" s="4" t="s">
        <v>608</v>
      </c>
      <c r="C199" s="3">
        <f t="shared" si="3"/>
        <v>45887</v>
      </c>
      <c r="D199" s="4" t="s">
        <v>235</v>
      </c>
      <c r="E199" s="5" t="s">
        <v>10</v>
      </c>
      <c r="F199" s="4" t="s">
        <v>23</v>
      </c>
      <c r="G199" s="5" t="str">
        <f>VLOOKUP(F199,'Master Kode'!$B$3:$D$13,2,0)</f>
        <v>PET Green Flakes</v>
      </c>
      <c r="H199" s="4">
        <v>2750</v>
      </c>
      <c r="I199" s="4" t="s">
        <v>9</v>
      </c>
    </row>
    <row r="200" spans="2:9">
      <c r="B200" s="4" t="s">
        <v>609</v>
      </c>
      <c r="C200" s="3">
        <f t="shared" si="3"/>
        <v>45888</v>
      </c>
      <c r="D200" s="4" t="s">
        <v>236</v>
      </c>
      <c r="E200" s="5" t="s">
        <v>13</v>
      </c>
      <c r="F200" s="4" t="s">
        <v>28</v>
      </c>
      <c r="G200" s="5" t="str">
        <f>VLOOKUP(F200,'Master Kode'!$B$3:$D$13,2,0)</f>
        <v>PET Mixed Color Flakes</v>
      </c>
      <c r="H200" s="4">
        <v>2400</v>
      </c>
      <c r="I200" s="4" t="s">
        <v>9</v>
      </c>
    </row>
    <row r="201" spans="2:9">
      <c r="B201" s="4" t="s">
        <v>610</v>
      </c>
      <c r="C201" s="3">
        <f t="shared" si="3"/>
        <v>45889</v>
      </c>
      <c r="D201" s="4" t="s">
        <v>237</v>
      </c>
      <c r="E201" s="5" t="s">
        <v>16</v>
      </c>
      <c r="F201" s="4" t="s">
        <v>17</v>
      </c>
      <c r="G201" s="5" t="str">
        <f>VLOOKUP(F201,'Master Kode'!$B$3:$D$13,2,0)</f>
        <v>HDPE Mixed Color Flakes</v>
      </c>
      <c r="H201" s="4">
        <v>2000</v>
      </c>
      <c r="I201" s="4" t="s">
        <v>9</v>
      </c>
    </row>
    <row r="202" spans="2:9">
      <c r="B202" s="4" t="s">
        <v>611</v>
      </c>
      <c r="C202" s="3">
        <f t="shared" si="3"/>
        <v>45890</v>
      </c>
      <c r="D202" s="4" t="s">
        <v>238</v>
      </c>
      <c r="E202" s="5" t="s">
        <v>19</v>
      </c>
      <c r="F202" s="4" t="s">
        <v>26</v>
      </c>
      <c r="G202" s="5" t="str">
        <f>VLOOKUP(F202,'Master Kode'!$B$3:$D$13,2,0)</f>
        <v>HDPE Blue Drum Flakes</v>
      </c>
      <c r="H202" s="4">
        <v>1750</v>
      </c>
      <c r="I202" s="4" t="s">
        <v>9</v>
      </c>
    </row>
    <row r="203" spans="2:9">
      <c r="B203" s="4" t="s">
        <v>612</v>
      </c>
      <c r="C203" s="3">
        <f t="shared" si="3"/>
        <v>45891</v>
      </c>
      <c r="D203" s="4" t="s">
        <v>239</v>
      </c>
      <c r="E203" s="5" t="s">
        <v>22</v>
      </c>
      <c r="F203" s="4" t="s">
        <v>34</v>
      </c>
      <c r="G203" s="5" t="str">
        <f>VLOOKUP(F203,'Master Kode'!$B$3:$D$13,2,0)</f>
        <v>PET Hot Washed Flakes</v>
      </c>
      <c r="H203" s="4">
        <v>3550</v>
      </c>
      <c r="I203" s="4" t="s">
        <v>9</v>
      </c>
    </row>
    <row r="204" spans="2:9">
      <c r="B204" s="4" t="s">
        <v>613</v>
      </c>
      <c r="C204" s="3">
        <f t="shared" si="3"/>
        <v>45892</v>
      </c>
      <c r="D204" s="4" t="s">
        <v>240</v>
      </c>
      <c r="E204" s="5" t="s">
        <v>25</v>
      </c>
      <c r="F204" s="4" t="s">
        <v>30</v>
      </c>
      <c r="G204" s="5" t="str">
        <f>VLOOKUP(F204,'Master Kode'!$B$3:$D$13,2,0)</f>
        <v>PP White Flakes</v>
      </c>
      <c r="H204" s="4">
        <v>2650</v>
      </c>
      <c r="I204" s="4" t="s">
        <v>9</v>
      </c>
    </row>
    <row r="205" spans="2:9">
      <c r="B205" s="4" t="s">
        <v>614</v>
      </c>
      <c r="C205" s="3">
        <f t="shared" si="3"/>
        <v>45893</v>
      </c>
      <c r="D205" s="4" t="s">
        <v>241</v>
      </c>
      <c r="E205" s="5" t="s">
        <v>6</v>
      </c>
      <c r="F205" s="4" t="s">
        <v>7</v>
      </c>
      <c r="G205" s="5" t="str">
        <f>VLOOKUP(F205,'Master Kode'!$B$3:$D$13,2,0)</f>
        <v>PET Clear Flakes</v>
      </c>
      <c r="H205" s="4">
        <v>2850</v>
      </c>
      <c r="I205" s="4" t="s">
        <v>9</v>
      </c>
    </row>
    <row r="206" spans="2:9">
      <c r="B206" s="4" t="s">
        <v>615</v>
      </c>
      <c r="C206" s="3">
        <f t="shared" si="3"/>
        <v>45894</v>
      </c>
      <c r="D206" s="4" t="s">
        <v>242</v>
      </c>
      <c r="E206" s="5" t="s">
        <v>10</v>
      </c>
      <c r="F206" s="4" t="s">
        <v>32</v>
      </c>
      <c r="G206" s="5" t="str">
        <f>VLOOKUP(F206,'Master Kode'!$B$3:$D$13,2,0)</f>
        <v>HDPE Bottle Cap Flakes</v>
      </c>
      <c r="H206" s="4">
        <v>2950</v>
      </c>
      <c r="I206" s="4" t="s">
        <v>9</v>
      </c>
    </row>
    <row r="207" spans="2:9">
      <c r="B207" s="4" t="s">
        <v>616</v>
      </c>
      <c r="C207" s="3">
        <f t="shared" si="3"/>
        <v>45895</v>
      </c>
      <c r="D207" s="4" t="s">
        <v>243</v>
      </c>
      <c r="E207" s="5" t="s">
        <v>13</v>
      </c>
      <c r="F207" s="4" t="s">
        <v>14</v>
      </c>
      <c r="G207" s="5" t="str">
        <f>VLOOKUP(F207,'Master Kode'!$B$3:$D$13,2,0)</f>
        <v>HDPE Natural Flakes</v>
      </c>
      <c r="H207" s="4">
        <v>2150</v>
      </c>
      <c r="I207" s="4" t="s">
        <v>9</v>
      </c>
    </row>
    <row r="208" spans="2:9">
      <c r="B208" s="4" t="s">
        <v>617</v>
      </c>
      <c r="C208" s="3">
        <f t="shared" si="3"/>
        <v>45896</v>
      </c>
      <c r="D208" s="4" t="s">
        <v>244</v>
      </c>
      <c r="E208" s="5" t="s">
        <v>16</v>
      </c>
      <c r="F208" s="4" t="s">
        <v>23</v>
      </c>
      <c r="G208" s="5" t="str">
        <f>VLOOKUP(F208,'Master Kode'!$B$3:$D$13,2,0)</f>
        <v>PET Green Flakes</v>
      </c>
      <c r="H208" s="4">
        <v>3050</v>
      </c>
      <c r="I208" s="4" t="s">
        <v>9</v>
      </c>
    </row>
    <row r="209" spans="2:9">
      <c r="B209" s="4" t="s">
        <v>618</v>
      </c>
      <c r="C209" s="3">
        <f t="shared" si="3"/>
        <v>45903</v>
      </c>
      <c r="D209" s="4" t="s">
        <v>245</v>
      </c>
      <c r="E209" s="5" t="s">
        <v>6</v>
      </c>
      <c r="F209" s="4" t="s">
        <v>7</v>
      </c>
      <c r="G209" s="5" t="str">
        <f>VLOOKUP(F209,'Master Kode'!$B$3:$D$13,2,0)</f>
        <v>PET Clear Flakes</v>
      </c>
      <c r="H209" s="4">
        <v>2150</v>
      </c>
      <c r="I209" s="4" t="s">
        <v>9</v>
      </c>
    </row>
    <row r="210" spans="2:9">
      <c r="B210" s="4" t="s">
        <v>619</v>
      </c>
      <c r="C210" s="3">
        <f t="shared" si="3"/>
        <v>45904</v>
      </c>
      <c r="D210" s="4" t="s">
        <v>246</v>
      </c>
      <c r="E210" s="5" t="s">
        <v>10</v>
      </c>
      <c r="F210" s="4" t="s">
        <v>14</v>
      </c>
      <c r="G210" s="5" t="str">
        <f>VLOOKUP(F210,'Master Kode'!$B$3:$D$13,2,0)</f>
        <v>HDPE Natural Flakes</v>
      </c>
      <c r="H210" s="4">
        <v>3200</v>
      </c>
      <c r="I210" s="4" t="s">
        <v>9</v>
      </c>
    </row>
    <row r="211" spans="2:9">
      <c r="B211" s="4" t="s">
        <v>620</v>
      </c>
      <c r="C211" s="3">
        <f t="shared" si="3"/>
        <v>45905</v>
      </c>
      <c r="D211" s="4" t="s">
        <v>247</v>
      </c>
      <c r="E211" s="5" t="s">
        <v>13</v>
      </c>
      <c r="F211" s="4" t="s">
        <v>11</v>
      </c>
      <c r="G211" s="5" t="str">
        <f>VLOOKUP(F211,'Master Kode'!$B$3:$D$13,2,0)</f>
        <v>PET Blue Flakes</v>
      </c>
      <c r="H211" s="4">
        <v>1850</v>
      </c>
      <c r="I211" s="4" t="s">
        <v>9</v>
      </c>
    </row>
    <row r="212" spans="2:9">
      <c r="B212" s="4" t="s">
        <v>621</v>
      </c>
      <c r="C212" s="3">
        <f t="shared" si="3"/>
        <v>45906</v>
      </c>
      <c r="D212" s="4" t="s">
        <v>248</v>
      </c>
      <c r="E212" s="5" t="s">
        <v>16</v>
      </c>
      <c r="F212" s="4" t="s">
        <v>17</v>
      </c>
      <c r="G212" s="5" t="str">
        <f>VLOOKUP(F212,'Master Kode'!$B$3:$D$13,2,0)</f>
        <v>HDPE Mixed Color Flakes</v>
      </c>
      <c r="H212" s="4">
        <v>2600</v>
      </c>
      <c r="I212" s="4" t="s">
        <v>9</v>
      </c>
    </row>
    <row r="213" spans="2:9">
      <c r="B213" s="4" t="s">
        <v>622</v>
      </c>
      <c r="C213" s="3">
        <f t="shared" si="3"/>
        <v>45907</v>
      </c>
      <c r="D213" s="4" t="s">
        <v>249</v>
      </c>
      <c r="E213" s="5" t="s">
        <v>22</v>
      </c>
      <c r="F213" s="4" t="s">
        <v>23</v>
      </c>
      <c r="G213" s="5" t="str">
        <f>VLOOKUP(F213,'Master Kode'!$B$3:$D$13,2,0)</f>
        <v>PET Green Flakes</v>
      </c>
      <c r="H213" s="4">
        <v>2980</v>
      </c>
      <c r="I213" s="4" t="s">
        <v>9</v>
      </c>
    </row>
    <row r="214" spans="2:9">
      <c r="B214" s="4" t="s">
        <v>623</v>
      </c>
      <c r="C214" s="3">
        <f t="shared" si="3"/>
        <v>45907</v>
      </c>
      <c r="D214" s="4" t="s">
        <v>250</v>
      </c>
      <c r="E214" s="5" t="s">
        <v>19</v>
      </c>
      <c r="F214" s="4" t="s">
        <v>20</v>
      </c>
      <c r="G214" s="5" t="str">
        <f>VLOOKUP(F214,'Master Kode'!$B$3:$D$13,2,0)</f>
        <v>PP Injection Flakes</v>
      </c>
      <c r="H214" s="4">
        <v>3350</v>
      </c>
      <c r="I214" s="4" t="s">
        <v>9</v>
      </c>
    </row>
    <row r="215" spans="2:9">
      <c r="B215" s="4" t="s">
        <v>624</v>
      </c>
      <c r="C215" s="3">
        <f t="shared" si="3"/>
        <v>45908</v>
      </c>
      <c r="D215" s="4" t="s">
        <v>251</v>
      </c>
      <c r="E215" s="5" t="s">
        <v>25</v>
      </c>
      <c r="F215" s="4" t="s">
        <v>26</v>
      </c>
      <c r="G215" s="5" t="str">
        <f>VLOOKUP(F215,'Master Kode'!$B$3:$D$13,2,0)</f>
        <v>HDPE Blue Drum Flakes</v>
      </c>
      <c r="H215" s="4">
        <v>1740</v>
      </c>
      <c r="I215" s="4" t="s">
        <v>9</v>
      </c>
    </row>
    <row r="216" spans="2:9">
      <c r="B216" s="4" t="s">
        <v>625</v>
      </c>
      <c r="C216" s="3">
        <f t="shared" si="3"/>
        <v>45909</v>
      </c>
      <c r="D216" s="4" t="s">
        <v>252</v>
      </c>
      <c r="E216" s="5" t="s">
        <v>6</v>
      </c>
      <c r="F216" s="4" t="s">
        <v>7</v>
      </c>
      <c r="G216" s="5" t="str">
        <f>VLOOKUP(F216,'Master Kode'!$B$3:$D$13,2,0)</f>
        <v>PET Clear Flakes</v>
      </c>
      <c r="H216" s="4">
        <v>2860</v>
      </c>
      <c r="I216" s="4" t="s">
        <v>9</v>
      </c>
    </row>
    <row r="217" spans="2:9">
      <c r="B217" s="4" t="s">
        <v>626</v>
      </c>
      <c r="C217" s="3">
        <f t="shared" si="3"/>
        <v>45910</v>
      </c>
      <c r="D217" s="4" t="s">
        <v>253</v>
      </c>
      <c r="E217" s="5" t="s">
        <v>10</v>
      </c>
      <c r="F217" s="4" t="s">
        <v>28</v>
      </c>
      <c r="G217" s="5" t="str">
        <f>VLOOKUP(F217,'Master Kode'!$B$3:$D$13,2,0)</f>
        <v>PET Mixed Color Flakes</v>
      </c>
      <c r="H217" s="4">
        <v>3100</v>
      </c>
      <c r="I217" s="4" t="s">
        <v>9</v>
      </c>
    </row>
    <row r="218" spans="2:9">
      <c r="B218" s="4" t="s">
        <v>627</v>
      </c>
      <c r="C218" s="3">
        <f t="shared" si="3"/>
        <v>45911</v>
      </c>
      <c r="D218" s="4" t="s">
        <v>254</v>
      </c>
      <c r="E218" s="5" t="s">
        <v>13</v>
      </c>
      <c r="F218" s="4" t="s">
        <v>14</v>
      </c>
      <c r="G218" s="5" t="str">
        <f>VLOOKUP(F218,'Master Kode'!$B$3:$D$13,2,0)</f>
        <v>HDPE Natural Flakes</v>
      </c>
      <c r="H218" s="4">
        <v>2450</v>
      </c>
      <c r="I218" s="4" t="s">
        <v>9</v>
      </c>
    </row>
    <row r="219" spans="2:9">
      <c r="B219" s="4" t="s">
        <v>628</v>
      </c>
      <c r="C219" s="3">
        <f t="shared" si="3"/>
        <v>45912</v>
      </c>
      <c r="D219" s="4" t="s">
        <v>255</v>
      </c>
      <c r="E219" s="5" t="s">
        <v>16</v>
      </c>
      <c r="F219" s="4" t="s">
        <v>30</v>
      </c>
      <c r="G219" s="5" t="str">
        <f>VLOOKUP(F219,'Master Kode'!$B$3:$D$13,2,0)</f>
        <v>PP White Flakes</v>
      </c>
      <c r="H219" s="4">
        <v>2100</v>
      </c>
      <c r="I219" s="4" t="s">
        <v>9</v>
      </c>
    </row>
    <row r="220" spans="2:9">
      <c r="B220" s="4" t="s">
        <v>629</v>
      </c>
      <c r="C220" s="3">
        <f t="shared" si="3"/>
        <v>45913</v>
      </c>
      <c r="D220" s="4" t="s">
        <v>256</v>
      </c>
      <c r="E220" s="5" t="s">
        <v>22</v>
      </c>
      <c r="F220" s="4" t="s">
        <v>23</v>
      </c>
      <c r="G220" s="5" t="str">
        <f>VLOOKUP(F220,'Master Kode'!$B$3:$D$13,2,0)</f>
        <v>PET Green Flakes</v>
      </c>
      <c r="H220" s="4">
        <v>3750</v>
      </c>
      <c r="I220" s="4" t="s">
        <v>9</v>
      </c>
    </row>
    <row r="221" spans="2:9">
      <c r="B221" s="4" t="s">
        <v>630</v>
      </c>
      <c r="C221" s="3">
        <f t="shared" si="3"/>
        <v>45913</v>
      </c>
      <c r="D221" s="4" t="s">
        <v>257</v>
      </c>
      <c r="E221" s="5" t="s">
        <v>19</v>
      </c>
      <c r="F221" s="4" t="s">
        <v>17</v>
      </c>
      <c r="G221" s="5" t="str">
        <f>VLOOKUP(F221,'Master Kode'!$B$3:$D$13,2,0)</f>
        <v>HDPE Mixed Color Flakes</v>
      </c>
      <c r="H221" s="4">
        <v>2980</v>
      </c>
      <c r="I221" s="4" t="s">
        <v>9</v>
      </c>
    </row>
    <row r="222" spans="2:9">
      <c r="B222" s="4" t="s">
        <v>631</v>
      </c>
      <c r="C222" s="3">
        <f t="shared" si="3"/>
        <v>45914</v>
      </c>
      <c r="D222" s="4" t="s">
        <v>258</v>
      </c>
      <c r="E222" s="5" t="s">
        <v>25</v>
      </c>
      <c r="F222" s="4" t="s">
        <v>32</v>
      </c>
      <c r="G222" s="5" t="str">
        <f>VLOOKUP(F222,'Master Kode'!$B$3:$D$13,2,0)</f>
        <v>HDPE Bottle Cap Flakes</v>
      </c>
      <c r="H222" s="4">
        <v>1540</v>
      </c>
      <c r="I222" s="4" t="s">
        <v>9</v>
      </c>
    </row>
    <row r="223" spans="2:9">
      <c r="B223" s="4" t="s">
        <v>632</v>
      </c>
      <c r="C223" s="3">
        <f t="shared" si="3"/>
        <v>45915</v>
      </c>
      <c r="D223" s="4" t="s">
        <v>259</v>
      </c>
      <c r="E223" s="5" t="s">
        <v>6</v>
      </c>
      <c r="F223" s="4" t="s">
        <v>34</v>
      </c>
      <c r="G223" s="5" t="str">
        <f>VLOOKUP(F223,'Master Kode'!$B$3:$D$13,2,0)</f>
        <v>PET Hot Washed Flakes</v>
      </c>
      <c r="H223" s="4">
        <v>4050</v>
      </c>
      <c r="I223" s="4" t="s">
        <v>9</v>
      </c>
    </row>
    <row r="224" spans="2:9">
      <c r="B224" s="4" t="s">
        <v>633</v>
      </c>
      <c r="C224" s="3">
        <f t="shared" si="3"/>
        <v>45916</v>
      </c>
      <c r="D224" s="4" t="s">
        <v>260</v>
      </c>
      <c r="E224" s="5" t="s">
        <v>10</v>
      </c>
      <c r="F224" s="4" t="s">
        <v>11</v>
      </c>
      <c r="G224" s="5" t="str">
        <f>VLOOKUP(F224,'Master Kode'!$B$3:$D$13,2,0)</f>
        <v>PET Blue Flakes</v>
      </c>
      <c r="H224" s="4">
        <v>2600</v>
      </c>
      <c r="I224" s="4" t="s">
        <v>9</v>
      </c>
    </row>
    <row r="225" spans="2:9">
      <c r="B225" s="4" t="s">
        <v>634</v>
      </c>
      <c r="C225" s="3">
        <f t="shared" si="3"/>
        <v>45917</v>
      </c>
      <c r="D225" s="4" t="s">
        <v>261</v>
      </c>
      <c r="E225" s="5" t="s">
        <v>13</v>
      </c>
      <c r="F225" s="4" t="s">
        <v>20</v>
      </c>
      <c r="G225" s="5" t="str">
        <f>VLOOKUP(F225,'Master Kode'!$B$3:$D$13,2,0)</f>
        <v>PP Injection Flakes</v>
      </c>
      <c r="H225" s="4">
        <v>2300</v>
      </c>
      <c r="I225" s="4" t="s">
        <v>9</v>
      </c>
    </row>
    <row r="226" spans="2:9">
      <c r="B226" s="4" t="s">
        <v>635</v>
      </c>
      <c r="C226" s="3">
        <f t="shared" si="3"/>
        <v>45918</v>
      </c>
      <c r="D226" s="4" t="s">
        <v>262</v>
      </c>
      <c r="E226" s="5" t="s">
        <v>16</v>
      </c>
      <c r="F226" s="4" t="s">
        <v>7</v>
      </c>
      <c r="G226" s="5" t="str">
        <f>VLOOKUP(F226,'Master Kode'!$B$3:$D$13,2,0)</f>
        <v>PET Clear Flakes</v>
      </c>
      <c r="H226" s="4">
        <v>3420</v>
      </c>
      <c r="I226" s="4" t="s">
        <v>9</v>
      </c>
    </row>
    <row r="227" spans="2:9">
      <c r="B227" s="4" t="s">
        <v>636</v>
      </c>
      <c r="C227" s="3">
        <f t="shared" si="3"/>
        <v>45919</v>
      </c>
      <c r="D227" s="4" t="s">
        <v>263</v>
      </c>
      <c r="E227" s="5" t="s">
        <v>22</v>
      </c>
      <c r="F227" s="4" t="s">
        <v>23</v>
      </c>
      <c r="G227" s="5" t="str">
        <f>VLOOKUP(F227,'Master Kode'!$B$3:$D$13,2,0)</f>
        <v>PET Green Flakes</v>
      </c>
      <c r="H227" s="4">
        <v>2985</v>
      </c>
      <c r="I227" s="4" t="s">
        <v>9</v>
      </c>
    </row>
    <row r="228" spans="2:9">
      <c r="B228" s="4" t="s">
        <v>637</v>
      </c>
      <c r="C228" s="3">
        <f t="shared" si="3"/>
        <v>45920</v>
      </c>
      <c r="D228" s="4" t="s">
        <v>264</v>
      </c>
      <c r="E228" s="5" t="s">
        <v>19</v>
      </c>
      <c r="F228" s="4" t="s">
        <v>14</v>
      </c>
      <c r="G228" s="5" t="str">
        <f>VLOOKUP(F228,'Master Kode'!$B$3:$D$13,2,0)</f>
        <v>HDPE Natural Flakes</v>
      </c>
      <c r="H228" s="4">
        <v>3150</v>
      </c>
      <c r="I228" s="4" t="s">
        <v>9</v>
      </c>
    </row>
    <row r="229" spans="2:9">
      <c r="B229" s="4" t="s">
        <v>638</v>
      </c>
      <c r="C229" s="3">
        <f t="shared" si="3"/>
        <v>45921</v>
      </c>
      <c r="D229" s="4" t="s">
        <v>265</v>
      </c>
      <c r="E229" s="5" t="s">
        <v>25</v>
      </c>
      <c r="F229" s="4" t="s">
        <v>26</v>
      </c>
      <c r="G229" s="5" t="str">
        <f>VLOOKUP(F229,'Master Kode'!$B$3:$D$13,2,0)</f>
        <v>HDPE Blue Drum Flakes</v>
      </c>
      <c r="H229" s="4">
        <v>1840</v>
      </c>
      <c r="I229" s="4" t="s">
        <v>9</v>
      </c>
    </row>
    <row r="230" spans="2:9">
      <c r="B230" s="4" t="s">
        <v>639</v>
      </c>
      <c r="C230" s="3">
        <f t="shared" si="3"/>
        <v>45922</v>
      </c>
      <c r="D230" s="4" t="s">
        <v>266</v>
      </c>
      <c r="E230" s="5" t="s">
        <v>6</v>
      </c>
      <c r="F230" s="4" t="s">
        <v>34</v>
      </c>
      <c r="G230" s="5" t="str">
        <f>VLOOKUP(F230,'Master Kode'!$B$3:$D$13,2,0)</f>
        <v>PET Hot Washed Flakes</v>
      </c>
      <c r="H230" s="4">
        <v>4200</v>
      </c>
      <c r="I230" s="4" t="s">
        <v>9</v>
      </c>
    </row>
    <row r="231" spans="2:9">
      <c r="B231" s="4" t="s">
        <v>640</v>
      </c>
      <c r="C231" s="3">
        <f t="shared" si="3"/>
        <v>45923</v>
      </c>
      <c r="D231" s="4" t="s">
        <v>267</v>
      </c>
      <c r="E231" s="5" t="s">
        <v>10</v>
      </c>
      <c r="F231" s="4" t="s">
        <v>17</v>
      </c>
      <c r="G231" s="5" t="str">
        <f>VLOOKUP(F231,'Master Kode'!$B$3:$D$13,2,0)</f>
        <v>HDPE Mixed Color Flakes</v>
      </c>
      <c r="H231" s="4">
        <v>2990</v>
      </c>
      <c r="I231" s="4" t="s">
        <v>9</v>
      </c>
    </row>
    <row r="232" spans="2:9">
      <c r="B232" s="4" t="s">
        <v>641</v>
      </c>
      <c r="C232" s="3">
        <f t="shared" si="3"/>
        <v>45924</v>
      </c>
      <c r="D232" s="4" t="s">
        <v>268</v>
      </c>
      <c r="E232" s="5" t="s">
        <v>13</v>
      </c>
      <c r="F232" s="4" t="s">
        <v>30</v>
      </c>
      <c r="G232" s="5" t="str">
        <f>VLOOKUP(F232,'Master Kode'!$B$3:$D$13,2,0)</f>
        <v>PP White Flakes</v>
      </c>
      <c r="H232" s="4">
        <v>2500</v>
      </c>
      <c r="I232" s="4" t="s">
        <v>9</v>
      </c>
    </row>
    <row r="233" spans="2:9">
      <c r="B233" s="4" t="s">
        <v>642</v>
      </c>
      <c r="C233" s="3">
        <f t="shared" si="3"/>
        <v>45925</v>
      </c>
      <c r="D233" s="4" t="s">
        <v>269</v>
      </c>
      <c r="E233" s="5" t="s">
        <v>16</v>
      </c>
      <c r="F233" s="4" t="s">
        <v>11</v>
      </c>
      <c r="G233" s="5" t="str">
        <f>VLOOKUP(F233,'Master Kode'!$B$3:$D$13,2,0)</f>
        <v>PET Blue Flakes</v>
      </c>
      <c r="H233" s="4">
        <v>2680</v>
      </c>
      <c r="I233" s="4" t="s">
        <v>9</v>
      </c>
    </row>
    <row r="234" spans="2:9">
      <c r="B234" s="4" t="s">
        <v>643</v>
      </c>
      <c r="C234" s="3">
        <f t="shared" si="3"/>
        <v>45926</v>
      </c>
      <c r="D234" s="4" t="s">
        <v>270</v>
      </c>
      <c r="E234" s="5" t="s">
        <v>22</v>
      </c>
      <c r="F234" s="4" t="s">
        <v>28</v>
      </c>
      <c r="G234" s="5" t="str">
        <f>VLOOKUP(F234,'Master Kode'!$B$3:$D$13,2,0)</f>
        <v>PET Mixed Color Flakes</v>
      </c>
      <c r="H234" s="4">
        <v>3100</v>
      </c>
      <c r="I234" s="4" t="s">
        <v>9</v>
      </c>
    </row>
    <row r="235" spans="2:9">
      <c r="B235" s="4" t="s">
        <v>644</v>
      </c>
      <c r="C235" s="3">
        <f t="shared" si="3"/>
        <v>45927</v>
      </c>
      <c r="D235" s="4" t="s">
        <v>271</v>
      </c>
      <c r="E235" s="5" t="s">
        <v>19</v>
      </c>
      <c r="F235" s="4" t="s">
        <v>20</v>
      </c>
      <c r="G235" s="5" t="str">
        <f>VLOOKUP(F235,'Master Kode'!$B$3:$D$13,2,0)</f>
        <v>PP Injection Flakes</v>
      </c>
      <c r="H235" s="4">
        <v>3450</v>
      </c>
      <c r="I235" s="4" t="s">
        <v>9</v>
      </c>
    </row>
    <row r="236" spans="2:9">
      <c r="B236" s="4" t="s">
        <v>645</v>
      </c>
      <c r="C236" s="3">
        <f t="shared" si="3"/>
        <v>45933</v>
      </c>
      <c r="D236" s="4" t="s">
        <v>272</v>
      </c>
      <c r="E236" s="5" t="s">
        <v>6</v>
      </c>
      <c r="F236" s="4" t="s">
        <v>7</v>
      </c>
      <c r="G236" s="5" t="str">
        <f>VLOOKUP(F236,'Master Kode'!$B$3:$D$13,2,0)</f>
        <v>PET Clear Flakes</v>
      </c>
      <c r="H236" s="4">
        <v>2100</v>
      </c>
      <c r="I236" s="4" t="s">
        <v>9</v>
      </c>
    </row>
    <row r="237" spans="2:9">
      <c r="B237" s="4" t="s">
        <v>646</v>
      </c>
      <c r="C237" s="3">
        <f t="shared" si="3"/>
        <v>45935</v>
      </c>
      <c r="D237" s="4" t="s">
        <v>273</v>
      </c>
      <c r="E237" s="5" t="s">
        <v>10</v>
      </c>
      <c r="F237" s="4" t="s">
        <v>11</v>
      </c>
      <c r="G237" s="5" t="str">
        <f>VLOOKUP(F237,'Master Kode'!$B$3:$D$13,2,0)</f>
        <v>PET Blue Flakes</v>
      </c>
      <c r="H237" s="4">
        <v>1850</v>
      </c>
      <c r="I237" s="4" t="s">
        <v>9</v>
      </c>
    </row>
    <row r="238" spans="2:9">
      <c r="B238" s="4" t="s">
        <v>647</v>
      </c>
      <c r="C238" s="3">
        <f t="shared" si="3"/>
        <v>45936</v>
      </c>
      <c r="D238" s="4" t="s">
        <v>274</v>
      </c>
      <c r="E238" s="5" t="s">
        <v>13</v>
      </c>
      <c r="F238" s="4" t="s">
        <v>14</v>
      </c>
      <c r="G238" s="5" t="str">
        <f>VLOOKUP(F238,'Master Kode'!$B$3:$D$13,2,0)</f>
        <v>HDPE Natural Flakes</v>
      </c>
      <c r="H238" s="4">
        <v>3200</v>
      </c>
      <c r="I238" s="4" t="s">
        <v>9</v>
      </c>
    </row>
    <row r="239" spans="2:9">
      <c r="B239" s="4" t="s">
        <v>648</v>
      </c>
      <c r="C239" s="3">
        <f t="shared" si="3"/>
        <v>45937</v>
      </c>
      <c r="D239" s="4" t="s">
        <v>275</v>
      </c>
      <c r="E239" s="5" t="s">
        <v>16</v>
      </c>
      <c r="F239" s="4" t="s">
        <v>17</v>
      </c>
      <c r="G239" s="5" t="str">
        <f>VLOOKUP(F239,'Master Kode'!$B$3:$D$13,2,0)</f>
        <v>HDPE Mixed Color Flakes</v>
      </c>
      <c r="H239" s="4">
        <v>2750</v>
      </c>
      <c r="I239" s="4" t="s">
        <v>9</v>
      </c>
    </row>
    <row r="240" spans="2:9">
      <c r="B240" s="4" t="s">
        <v>649</v>
      </c>
      <c r="C240" s="3">
        <f t="shared" si="3"/>
        <v>45938</v>
      </c>
      <c r="D240" s="4" t="s">
        <v>276</v>
      </c>
      <c r="E240" s="5" t="s">
        <v>19</v>
      </c>
      <c r="F240" s="4" t="s">
        <v>20</v>
      </c>
      <c r="G240" s="5" t="str">
        <f>VLOOKUP(F240,'Master Kode'!$B$3:$D$13,2,0)</f>
        <v>PP Injection Flakes</v>
      </c>
      <c r="H240" s="4">
        <v>1980</v>
      </c>
      <c r="I240" s="4" t="s">
        <v>9</v>
      </c>
    </row>
    <row r="241" spans="2:9">
      <c r="B241" s="4" t="s">
        <v>650</v>
      </c>
      <c r="C241" s="3">
        <f t="shared" si="3"/>
        <v>45939</v>
      </c>
      <c r="D241" s="4" t="s">
        <v>277</v>
      </c>
      <c r="E241" s="5" t="s">
        <v>22</v>
      </c>
      <c r="F241" s="4" t="s">
        <v>23</v>
      </c>
      <c r="G241" s="5" t="str">
        <f>VLOOKUP(F241,'Master Kode'!$B$3:$D$13,2,0)</f>
        <v>PET Green Flakes</v>
      </c>
      <c r="H241" s="4">
        <v>3050</v>
      </c>
      <c r="I241" s="4" t="s">
        <v>9</v>
      </c>
    </row>
    <row r="242" spans="2:9">
      <c r="B242" s="4" t="s">
        <v>651</v>
      </c>
      <c r="C242" s="3">
        <f t="shared" si="3"/>
        <v>45940</v>
      </c>
      <c r="D242" s="4" t="s">
        <v>278</v>
      </c>
      <c r="E242" s="5" t="s">
        <v>25</v>
      </c>
      <c r="F242" s="4" t="s">
        <v>26</v>
      </c>
      <c r="G242" s="5" t="str">
        <f>VLOOKUP(F242,'Master Kode'!$B$3:$D$13,2,0)</f>
        <v>HDPE Blue Drum Flakes</v>
      </c>
      <c r="H242" s="4">
        <v>2240</v>
      </c>
      <c r="I242" s="4" t="s">
        <v>9</v>
      </c>
    </row>
    <row r="243" spans="2:9">
      <c r="B243" s="4" t="s">
        <v>652</v>
      </c>
      <c r="C243" s="3">
        <f t="shared" si="3"/>
        <v>45941</v>
      </c>
      <c r="D243" s="4" t="s">
        <v>279</v>
      </c>
      <c r="E243" s="5" t="s">
        <v>6</v>
      </c>
      <c r="F243" s="4" t="s">
        <v>28</v>
      </c>
      <c r="G243" s="5" t="str">
        <f>VLOOKUP(F243,'Master Kode'!$B$3:$D$13,2,0)</f>
        <v>PET Mixed Color Flakes</v>
      </c>
      <c r="H243" s="4">
        <v>2675</v>
      </c>
      <c r="I243" s="4" t="s">
        <v>9</v>
      </c>
    </row>
    <row r="244" spans="2:9">
      <c r="B244" s="4" t="s">
        <v>653</v>
      </c>
      <c r="C244" s="3">
        <f t="shared" si="3"/>
        <v>45942</v>
      </c>
      <c r="D244" s="4" t="s">
        <v>280</v>
      </c>
      <c r="E244" s="5" t="s">
        <v>10</v>
      </c>
      <c r="F244" s="4" t="s">
        <v>30</v>
      </c>
      <c r="G244" s="5" t="str">
        <f>VLOOKUP(F244,'Master Kode'!$B$3:$D$13,2,0)</f>
        <v>PP White Flakes</v>
      </c>
      <c r="H244" s="4">
        <v>2890</v>
      </c>
      <c r="I244" s="4" t="s">
        <v>9</v>
      </c>
    </row>
    <row r="245" spans="2:9">
      <c r="B245" s="4" t="s">
        <v>654</v>
      </c>
      <c r="C245" s="3">
        <f t="shared" si="3"/>
        <v>45943</v>
      </c>
      <c r="D245" s="4" t="s">
        <v>281</v>
      </c>
      <c r="E245" s="5" t="s">
        <v>13</v>
      </c>
      <c r="F245" s="4" t="s">
        <v>32</v>
      </c>
      <c r="G245" s="5" t="str">
        <f>VLOOKUP(F245,'Master Kode'!$B$3:$D$13,2,0)</f>
        <v>HDPE Bottle Cap Flakes</v>
      </c>
      <c r="H245" s="4">
        <v>1760</v>
      </c>
      <c r="I245" s="4" t="s">
        <v>9</v>
      </c>
    </row>
    <row r="246" spans="2:9">
      <c r="B246" s="4" t="s">
        <v>655</v>
      </c>
      <c r="C246" s="3">
        <f t="shared" si="3"/>
        <v>45944</v>
      </c>
      <c r="D246" s="4" t="s">
        <v>282</v>
      </c>
      <c r="E246" s="5" t="s">
        <v>16</v>
      </c>
      <c r="F246" s="4" t="s">
        <v>34</v>
      </c>
      <c r="G246" s="5" t="str">
        <f>VLOOKUP(F246,'Master Kode'!$B$3:$D$13,2,0)</f>
        <v>PET Hot Washed Flakes</v>
      </c>
      <c r="H246" s="4">
        <v>3500</v>
      </c>
      <c r="I246" s="4" t="s">
        <v>9</v>
      </c>
    </row>
    <row r="247" spans="2:9">
      <c r="B247" s="4" t="s">
        <v>656</v>
      </c>
      <c r="C247" s="3">
        <f t="shared" si="3"/>
        <v>45945</v>
      </c>
      <c r="D247" s="4" t="s">
        <v>283</v>
      </c>
      <c r="E247" s="5" t="s">
        <v>19</v>
      </c>
      <c r="F247" s="4" t="s">
        <v>7</v>
      </c>
      <c r="G247" s="5" t="str">
        <f>VLOOKUP(F247,'Master Kode'!$B$3:$D$13,2,0)</f>
        <v>PET Clear Flakes</v>
      </c>
      <c r="H247" s="4">
        <v>2600</v>
      </c>
      <c r="I247" s="4" t="s">
        <v>9</v>
      </c>
    </row>
    <row r="248" spans="2:9">
      <c r="B248" s="4" t="s">
        <v>657</v>
      </c>
      <c r="C248" s="3">
        <f t="shared" si="3"/>
        <v>45946</v>
      </c>
      <c r="D248" s="4" t="s">
        <v>284</v>
      </c>
      <c r="E248" s="5" t="s">
        <v>22</v>
      </c>
      <c r="F248" s="4" t="s">
        <v>11</v>
      </c>
      <c r="G248" s="5" t="str">
        <f>VLOOKUP(F248,'Master Kode'!$B$3:$D$13,2,0)</f>
        <v>PET Blue Flakes</v>
      </c>
      <c r="H248" s="4">
        <v>2400</v>
      </c>
      <c r="I248" s="4" t="s">
        <v>9</v>
      </c>
    </row>
    <row r="249" spans="2:9">
      <c r="B249" s="4" t="s">
        <v>658</v>
      </c>
      <c r="C249" s="3">
        <f t="shared" si="3"/>
        <v>45947</v>
      </c>
      <c r="D249" s="4" t="s">
        <v>285</v>
      </c>
      <c r="E249" s="5" t="s">
        <v>25</v>
      </c>
      <c r="F249" s="4" t="s">
        <v>14</v>
      </c>
      <c r="G249" s="5" t="str">
        <f>VLOOKUP(F249,'Master Kode'!$B$3:$D$13,2,0)</f>
        <v>HDPE Natural Flakes</v>
      </c>
      <c r="H249" s="4">
        <v>3150</v>
      </c>
      <c r="I249" s="4" t="s">
        <v>9</v>
      </c>
    </row>
    <row r="250" spans="2:9">
      <c r="B250" s="4" t="s">
        <v>659</v>
      </c>
      <c r="C250" s="3">
        <f t="shared" si="3"/>
        <v>45948</v>
      </c>
      <c r="D250" s="4" t="s">
        <v>286</v>
      </c>
      <c r="E250" s="5" t="s">
        <v>6</v>
      </c>
      <c r="F250" s="4" t="s">
        <v>17</v>
      </c>
      <c r="G250" s="5" t="str">
        <f>VLOOKUP(F250,'Master Kode'!$B$3:$D$13,2,0)</f>
        <v>HDPE Mixed Color Flakes</v>
      </c>
      <c r="H250" s="4">
        <v>2210</v>
      </c>
      <c r="I250" s="4" t="s">
        <v>9</v>
      </c>
    </row>
    <row r="251" spans="2:9">
      <c r="B251" s="4" t="s">
        <v>660</v>
      </c>
      <c r="C251" s="3">
        <f t="shared" si="3"/>
        <v>45949</v>
      </c>
      <c r="D251" s="4" t="s">
        <v>287</v>
      </c>
      <c r="E251" s="5" t="s">
        <v>10</v>
      </c>
      <c r="F251" s="4" t="s">
        <v>20</v>
      </c>
      <c r="G251" s="5" t="str">
        <f>VLOOKUP(F251,'Master Kode'!$B$3:$D$13,2,0)</f>
        <v>PP Injection Flakes</v>
      </c>
      <c r="H251" s="4">
        <v>2750</v>
      </c>
      <c r="I251" s="4" t="s">
        <v>9</v>
      </c>
    </row>
    <row r="252" spans="2:9">
      <c r="B252" s="4" t="s">
        <v>661</v>
      </c>
      <c r="C252" s="3">
        <f t="shared" si="3"/>
        <v>45950</v>
      </c>
      <c r="D252" s="4" t="s">
        <v>288</v>
      </c>
      <c r="E252" s="5" t="s">
        <v>13</v>
      </c>
      <c r="F252" s="4" t="s">
        <v>23</v>
      </c>
      <c r="G252" s="5" t="str">
        <f>VLOOKUP(F252,'Master Kode'!$B$3:$D$13,2,0)</f>
        <v>PET Green Flakes</v>
      </c>
      <c r="H252" s="4">
        <v>2330</v>
      </c>
      <c r="I252" s="4" t="s">
        <v>9</v>
      </c>
    </row>
    <row r="253" spans="2:9">
      <c r="B253" s="4" t="s">
        <v>662</v>
      </c>
      <c r="C253" s="3">
        <f t="shared" si="3"/>
        <v>45951</v>
      </c>
      <c r="D253" s="4" t="s">
        <v>289</v>
      </c>
      <c r="E253" s="5" t="s">
        <v>16</v>
      </c>
      <c r="F253" s="4" t="s">
        <v>26</v>
      </c>
      <c r="G253" s="5" t="str">
        <f>VLOOKUP(F253,'Master Kode'!$B$3:$D$13,2,0)</f>
        <v>HDPE Blue Drum Flakes</v>
      </c>
      <c r="H253" s="4">
        <v>2980</v>
      </c>
      <c r="I253" s="4" t="s">
        <v>9</v>
      </c>
    </row>
    <row r="254" spans="2:9">
      <c r="B254" s="4" t="s">
        <v>663</v>
      </c>
      <c r="C254" s="3">
        <f t="shared" si="3"/>
        <v>45952</v>
      </c>
      <c r="D254" s="4" t="s">
        <v>290</v>
      </c>
      <c r="E254" s="5" t="s">
        <v>19</v>
      </c>
      <c r="F254" s="4" t="s">
        <v>28</v>
      </c>
      <c r="G254" s="5" t="str">
        <f>VLOOKUP(F254,'Master Kode'!$B$3:$D$13,2,0)</f>
        <v>PET Mixed Color Flakes</v>
      </c>
      <c r="H254" s="4">
        <v>1880</v>
      </c>
      <c r="I254" s="4" t="s">
        <v>9</v>
      </c>
    </row>
    <row r="255" spans="2:9">
      <c r="B255" s="4" t="s">
        <v>664</v>
      </c>
      <c r="C255" s="3">
        <f t="shared" si="3"/>
        <v>45953</v>
      </c>
      <c r="D255" s="4" t="s">
        <v>291</v>
      </c>
      <c r="E255" s="5" t="s">
        <v>22</v>
      </c>
      <c r="F255" s="4" t="s">
        <v>30</v>
      </c>
      <c r="G255" s="5" t="str">
        <f>VLOOKUP(F255,'Master Kode'!$B$3:$D$13,2,0)</f>
        <v>PP White Flakes</v>
      </c>
      <c r="H255" s="4">
        <v>3200</v>
      </c>
      <c r="I255" s="4" t="s">
        <v>9</v>
      </c>
    </row>
    <row r="256" spans="2:9">
      <c r="B256" s="4" t="s">
        <v>665</v>
      </c>
      <c r="C256" s="3">
        <f t="shared" si="3"/>
        <v>45954</v>
      </c>
      <c r="D256" s="4" t="s">
        <v>292</v>
      </c>
      <c r="E256" s="5" t="s">
        <v>25</v>
      </c>
      <c r="F256" s="4" t="s">
        <v>32</v>
      </c>
      <c r="G256" s="5" t="str">
        <f>VLOOKUP(F256,'Master Kode'!$B$3:$D$13,2,0)</f>
        <v>HDPE Bottle Cap Flakes</v>
      </c>
      <c r="H256" s="4">
        <v>2450</v>
      </c>
      <c r="I256" s="4" t="s">
        <v>9</v>
      </c>
    </row>
    <row r="257" spans="2:9">
      <c r="B257" s="4" t="s">
        <v>666</v>
      </c>
      <c r="C257" s="3">
        <f t="shared" si="3"/>
        <v>45955</v>
      </c>
      <c r="D257" s="4" t="s">
        <v>293</v>
      </c>
      <c r="E257" s="5" t="s">
        <v>6</v>
      </c>
      <c r="F257" s="4" t="s">
        <v>34</v>
      </c>
      <c r="G257" s="5" t="str">
        <f>VLOOKUP(F257,'Master Kode'!$B$3:$D$13,2,0)</f>
        <v>PET Hot Washed Flakes</v>
      </c>
      <c r="H257" s="4">
        <v>3560</v>
      </c>
      <c r="I257" s="4" t="s">
        <v>9</v>
      </c>
    </row>
    <row r="258" spans="2:9">
      <c r="B258" s="4" t="s">
        <v>667</v>
      </c>
      <c r="C258" s="3">
        <f t="shared" si="3"/>
        <v>45956</v>
      </c>
      <c r="D258" s="4" t="s">
        <v>294</v>
      </c>
      <c r="E258" s="5" t="s">
        <v>10</v>
      </c>
      <c r="F258" s="4" t="s">
        <v>7</v>
      </c>
      <c r="G258" s="5" t="str">
        <f>VLOOKUP(F258,'Master Kode'!$B$3:$D$13,2,0)</f>
        <v>PET Clear Flakes</v>
      </c>
      <c r="H258" s="4">
        <v>2070</v>
      </c>
      <c r="I258" s="4" t="s">
        <v>9</v>
      </c>
    </row>
    <row r="259" spans="2:9">
      <c r="B259" s="4" t="s">
        <v>668</v>
      </c>
      <c r="C259" s="3">
        <f t="shared" si="3"/>
        <v>45957</v>
      </c>
      <c r="D259" s="4" t="s">
        <v>295</v>
      </c>
      <c r="E259" s="5" t="s">
        <v>13</v>
      </c>
      <c r="F259" s="4" t="s">
        <v>11</v>
      </c>
      <c r="G259" s="5" t="str">
        <f>VLOOKUP(F259,'Master Kode'!$B$3:$D$13,2,0)</f>
        <v>PET Blue Flakes</v>
      </c>
      <c r="H259" s="4">
        <v>2940</v>
      </c>
      <c r="I259" s="4" t="s">
        <v>9</v>
      </c>
    </row>
    <row r="260" spans="2:9">
      <c r="B260" s="4" t="s">
        <v>669</v>
      </c>
      <c r="C260" s="3">
        <f t="shared" ref="C260:C313" si="4">DATE(2000+MID(B260,7,2),MID(B260,5,2),MID(B260,3,2))</f>
        <v>45958</v>
      </c>
      <c r="D260" s="4" t="s">
        <v>296</v>
      </c>
      <c r="E260" s="5" t="s">
        <v>16</v>
      </c>
      <c r="F260" s="4" t="s">
        <v>14</v>
      </c>
      <c r="G260" s="5" t="str">
        <f>VLOOKUP(F260,'Master Kode'!$B$3:$D$13,2,0)</f>
        <v>HDPE Natural Flakes</v>
      </c>
      <c r="H260" s="4">
        <v>3100</v>
      </c>
      <c r="I260" s="4" t="s">
        <v>9</v>
      </c>
    </row>
    <row r="261" spans="2:9">
      <c r="B261" s="4" t="s">
        <v>670</v>
      </c>
      <c r="C261" s="3">
        <f t="shared" si="4"/>
        <v>45964</v>
      </c>
      <c r="D261" s="4" t="s">
        <v>297</v>
      </c>
      <c r="E261" s="5" t="s">
        <v>6</v>
      </c>
      <c r="F261" s="4" t="s">
        <v>7</v>
      </c>
      <c r="G261" s="5" t="str">
        <f>VLOOKUP(F261,'Master Kode'!$B$3:$D$13,2,0)</f>
        <v>PET Clear Flakes</v>
      </c>
      <c r="H261" s="4">
        <v>2150</v>
      </c>
      <c r="I261" s="4" t="s">
        <v>9</v>
      </c>
    </row>
    <row r="262" spans="2:9">
      <c r="B262" s="4" t="s">
        <v>671</v>
      </c>
      <c r="C262" s="3">
        <f t="shared" si="4"/>
        <v>45965</v>
      </c>
      <c r="D262" s="4" t="s">
        <v>298</v>
      </c>
      <c r="E262" s="5" t="s">
        <v>10</v>
      </c>
      <c r="F262" s="4" t="s">
        <v>14</v>
      </c>
      <c r="G262" s="5" t="str">
        <f>VLOOKUP(F262,'Master Kode'!$B$3:$D$13,2,0)</f>
        <v>HDPE Natural Flakes</v>
      </c>
      <c r="H262" s="4">
        <v>1850</v>
      </c>
      <c r="I262" s="4" t="s">
        <v>9</v>
      </c>
    </row>
    <row r="263" spans="2:9">
      <c r="B263" s="4" t="s">
        <v>672</v>
      </c>
      <c r="C263" s="3">
        <f t="shared" si="4"/>
        <v>45965</v>
      </c>
      <c r="D263" s="4" t="s">
        <v>299</v>
      </c>
      <c r="E263" s="5" t="s">
        <v>16</v>
      </c>
      <c r="F263" s="4" t="s">
        <v>23</v>
      </c>
      <c r="G263" s="5" t="str">
        <f>VLOOKUP(F263,'Master Kode'!$B$3:$D$13,2,0)</f>
        <v>PET Green Flakes</v>
      </c>
      <c r="H263" s="4">
        <v>3020</v>
      </c>
      <c r="I263" s="4" t="s">
        <v>9</v>
      </c>
    </row>
    <row r="264" spans="2:9">
      <c r="B264" s="4" t="s">
        <v>673</v>
      </c>
      <c r="C264" s="3">
        <f t="shared" si="4"/>
        <v>45966</v>
      </c>
      <c r="D264" s="4" t="s">
        <v>300</v>
      </c>
      <c r="E264" s="5" t="s">
        <v>19</v>
      </c>
      <c r="F264" s="4" t="s">
        <v>17</v>
      </c>
      <c r="G264" s="5" t="str">
        <f>VLOOKUP(F264,'Master Kode'!$B$3:$D$13,2,0)</f>
        <v>HDPE Mixed Color Flakes</v>
      </c>
      <c r="H264" s="4">
        <v>1750</v>
      </c>
      <c r="I264" s="4" t="s">
        <v>9</v>
      </c>
    </row>
    <row r="265" spans="2:9">
      <c r="B265" s="4" t="s">
        <v>674</v>
      </c>
      <c r="C265" s="3">
        <f t="shared" si="4"/>
        <v>45966</v>
      </c>
      <c r="D265" s="4" t="s">
        <v>301</v>
      </c>
      <c r="E265" s="5" t="s">
        <v>22</v>
      </c>
      <c r="F265" s="4" t="s">
        <v>11</v>
      </c>
      <c r="G265" s="5" t="str">
        <f>VLOOKUP(F265,'Master Kode'!$B$3:$D$13,2,0)</f>
        <v>PET Blue Flakes</v>
      </c>
      <c r="H265" s="4">
        <v>2640</v>
      </c>
      <c r="I265" s="4" t="s">
        <v>9</v>
      </c>
    </row>
    <row r="266" spans="2:9">
      <c r="B266" s="4" t="s">
        <v>675</v>
      </c>
      <c r="C266" s="3">
        <f t="shared" si="4"/>
        <v>45967</v>
      </c>
      <c r="D266" s="4" t="s">
        <v>302</v>
      </c>
      <c r="E266" s="5" t="s">
        <v>13</v>
      </c>
      <c r="F266" s="4" t="s">
        <v>20</v>
      </c>
      <c r="G266" s="5" t="str">
        <f>VLOOKUP(F266,'Master Kode'!$B$3:$D$13,2,0)</f>
        <v>PP Injection Flakes</v>
      </c>
      <c r="H266" s="4">
        <v>3200</v>
      </c>
      <c r="I266" s="4" t="s">
        <v>9</v>
      </c>
    </row>
    <row r="267" spans="2:9">
      <c r="B267" s="4" t="s">
        <v>676</v>
      </c>
      <c r="C267" s="3">
        <f t="shared" si="4"/>
        <v>45967</v>
      </c>
      <c r="D267" s="4" t="s">
        <v>303</v>
      </c>
      <c r="E267" s="5" t="s">
        <v>25</v>
      </c>
      <c r="F267" s="4" t="s">
        <v>26</v>
      </c>
      <c r="G267" s="5" t="str">
        <f>VLOOKUP(F267,'Master Kode'!$B$3:$D$13,2,0)</f>
        <v>HDPE Blue Drum Flakes</v>
      </c>
      <c r="H267" s="4">
        <v>1450</v>
      </c>
      <c r="I267" s="4" t="s">
        <v>9</v>
      </c>
    </row>
    <row r="268" spans="2:9">
      <c r="B268" s="4" t="s">
        <v>677</v>
      </c>
      <c r="C268" s="3">
        <f t="shared" si="4"/>
        <v>45968</v>
      </c>
      <c r="D268" s="4" t="s">
        <v>304</v>
      </c>
      <c r="E268" s="5" t="s">
        <v>10</v>
      </c>
      <c r="F268" s="4" t="s">
        <v>28</v>
      </c>
      <c r="G268" s="5" t="str">
        <f>VLOOKUP(F268,'Master Kode'!$B$3:$D$13,2,0)</f>
        <v>PET Mixed Color Flakes</v>
      </c>
      <c r="H268" s="4">
        <v>2860</v>
      </c>
      <c r="I268" s="4" t="s">
        <v>9</v>
      </c>
    </row>
    <row r="269" spans="2:9">
      <c r="B269" s="4" t="s">
        <v>678</v>
      </c>
      <c r="C269" s="3">
        <f t="shared" si="4"/>
        <v>45968</v>
      </c>
      <c r="D269" s="4" t="s">
        <v>305</v>
      </c>
      <c r="E269" s="5" t="s">
        <v>6</v>
      </c>
      <c r="F269" s="4" t="s">
        <v>7</v>
      </c>
      <c r="G269" s="5" t="str">
        <f>VLOOKUP(F269,'Master Kode'!$B$3:$D$13,2,0)</f>
        <v>PET Clear Flakes</v>
      </c>
      <c r="H269" s="4">
        <v>1950</v>
      </c>
      <c r="I269" s="4" t="s">
        <v>9</v>
      </c>
    </row>
    <row r="270" spans="2:9">
      <c r="B270" s="4" t="s">
        <v>679</v>
      </c>
      <c r="C270" s="3">
        <f t="shared" si="4"/>
        <v>45969</v>
      </c>
      <c r="D270" s="4" t="s">
        <v>306</v>
      </c>
      <c r="E270" s="5" t="s">
        <v>19</v>
      </c>
      <c r="F270" s="4" t="s">
        <v>30</v>
      </c>
      <c r="G270" s="5" t="str">
        <f>VLOOKUP(F270,'Master Kode'!$B$3:$D$13,2,0)</f>
        <v>PP White Flakes</v>
      </c>
      <c r="H270" s="4">
        <v>2410</v>
      </c>
      <c r="I270" s="4" t="s">
        <v>9</v>
      </c>
    </row>
    <row r="271" spans="2:9">
      <c r="B271" s="4" t="s">
        <v>680</v>
      </c>
      <c r="C271" s="3">
        <f t="shared" si="4"/>
        <v>45970</v>
      </c>
      <c r="D271" s="4" t="s">
        <v>307</v>
      </c>
      <c r="E271" s="5" t="s">
        <v>22</v>
      </c>
      <c r="F271" s="4" t="s">
        <v>34</v>
      </c>
      <c r="G271" s="5" t="str">
        <f>VLOOKUP(F271,'Master Kode'!$B$3:$D$13,2,0)</f>
        <v>PET Hot Washed Flakes</v>
      </c>
      <c r="H271" s="4">
        <v>3560</v>
      </c>
      <c r="I271" s="4" t="s">
        <v>9</v>
      </c>
    </row>
    <row r="272" spans="2:9">
      <c r="B272" s="4" t="s">
        <v>681</v>
      </c>
      <c r="C272" s="3">
        <f t="shared" si="4"/>
        <v>45971</v>
      </c>
      <c r="D272" s="4" t="s">
        <v>308</v>
      </c>
      <c r="E272" s="5" t="s">
        <v>16</v>
      </c>
      <c r="F272" s="4" t="s">
        <v>17</v>
      </c>
      <c r="G272" s="5" t="str">
        <f>VLOOKUP(F272,'Master Kode'!$B$3:$D$13,2,0)</f>
        <v>HDPE Mixed Color Flakes</v>
      </c>
      <c r="H272" s="4">
        <v>2980</v>
      </c>
      <c r="I272" s="4" t="s">
        <v>9</v>
      </c>
    </row>
    <row r="273" spans="2:9">
      <c r="B273" s="4" t="s">
        <v>682</v>
      </c>
      <c r="C273" s="3">
        <f t="shared" si="4"/>
        <v>45972</v>
      </c>
      <c r="D273" s="4" t="s">
        <v>309</v>
      </c>
      <c r="E273" s="5" t="s">
        <v>13</v>
      </c>
      <c r="F273" s="4" t="s">
        <v>14</v>
      </c>
      <c r="G273" s="5" t="str">
        <f>VLOOKUP(F273,'Master Kode'!$B$3:$D$13,2,0)</f>
        <v>HDPE Natural Flakes</v>
      </c>
      <c r="H273" s="4">
        <v>2100</v>
      </c>
      <c r="I273" s="4" t="s">
        <v>9</v>
      </c>
    </row>
    <row r="274" spans="2:9">
      <c r="B274" s="4" t="s">
        <v>683</v>
      </c>
      <c r="C274" s="3">
        <f t="shared" si="4"/>
        <v>45973</v>
      </c>
      <c r="D274" s="4" t="s">
        <v>310</v>
      </c>
      <c r="E274" s="5" t="s">
        <v>10</v>
      </c>
      <c r="F274" s="4" t="s">
        <v>11</v>
      </c>
      <c r="G274" s="5" t="str">
        <f>VLOOKUP(F274,'Master Kode'!$B$3:$D$13,2,0)</f>
        <v>PET Blue Flakes</v>
      </c>
      <c r="H274" s="4">
        <v>3300</v>
      </c>
      <c r="I274" s="4" t="s">
        <v>9</v>
      </c>
    </row>
    <row r="275" spans="2:9">
      <c r="B275" s="4" t="s">
        <v>684</v>
      </c>
      <c r="C275" s="3">
        <f t="shared" si="4"/>
        <v>45974</v>
      </c>
      <c r="D275" s="4" t="s">
        <v>311</v>
      </c>
      <c r="E275" s="5" t="s">
        <v>19</v>
      </c>
      <c r="F275" s="4" t="s">
        <v>23</v>
      </c>
      <c r="G275" s="5" t="str">
        <f>VLOOKUP(F275,'Master Kode'!$B$3:$D$13,2,0)</f>
        <v>PET Green Flakes</v>
      </c>
      <c r="H275" s="4">
        <v>1840</v>
      </c>
      <c r="I275" s="4" t="s">
        <v>9</v>
      </c>
    </row>
    <row r="276" spans="2:9">
      <c r="B276" s="4" t="s">
        <v>685</v>
      </c>
      <c r="C276" s="3">
        <f t="shared" si="4"/>
        <v>45975</v>
      </c>
      <c r="D276" s="4" t="s">
        <v>312</v>
      </c>
      <c r="E276" s="5" t="s">
        <v>25</v>
      </c>
      <c r="F276" s="4" t="s">
        <v>26</v>
      </c>
      <c r="G276" s="5" t="str">
        <f>VLOOKUP(F276,'Master Kode'!$B$3:$D$13,2,0)</f>
        <v>HDPE Blue Drum Flakes</v>
      </c>
      <c r="H276" s="4">
        <v>1560</v>
      </c>
      <c r="I276" s="4" t="s">
        <v>9</v>
      </c>
    </row>
    <row r="277" spans="2:9">
      <c r="B277" s="4" t="s">
        <v>686</v>
      </c>
      <c r="C277" s="3">
        <f t="shared" si="4"/>
        <v>45976</v>
      </c>
      <c r="D277" s="4" t="s">
        <v>313</v>
      </c>
      <c r="E277" s="5" t="s">
        <v>22</v>
      </c>
      <c r="F277" s="4" t="s">
        <v>20</v>
      </c>
      <c r="G277" s="5" t="str">
        <f>VLOOKUP(F277,'Master Kode'!$B$3:$D$13,2,0)</f>
        <v>PP Injection Flakes</v>
      </c>
      <c r="H277" s="4">
        <v>2890</v>
      </c>
      <c r="I277" s="4" t="s">
        <v>9</v>
      </c>
    </row>
    <row r="278" spans="2:9">
      <c r="B278" s="4" t="s">
        <v>687</v>
      </c>
      <c r="C278" s="3">
        <f t="shared" si="4"/>
        <v>45977</v>
      </c>
      <c r="D278" s="4" t="s">
        <v>314</v>
      </c>
      <c r="E278" s="5" t="s">
        <v>16</v>
      </c>
      <c r="F278" s="4" t="s">
        <v>34</v>
      </c>
      <c r="G278" s="5" t="str">
        <f>VLOOKUP(F278,'Master Kode'!$B$3:$D$13,2,0)</f>
        <v>PET Hot Washed Flakes</v>
      </c>
      <c r="H278" s="4">
        <v>3620</v>
      </c>
      <c r="I278" s="4" t="s">
        <v>9</v>
      </c>
    </row>
    <row r="279" spans="2:9">
      <c r="B279" s="4" t="s">
        <v>688</v>
      </c>
      <c r="C279" s="3">
        <f t="shared" si="4"/>
        <v>45978</v>
      </c>
      <c r="D279" s="4" t="s">
        <v>315</v>
      </c>
      <c r="E279" s="5" t="s">
        <v>6</v>
      </c>
      <c r="F279" s="4" t="s">
        <v>7</v>
      </c>
      <c r="G279" s="5" t="str">
        <f>VLOOKUP(F279,'Master Kode'!$B$3:$D$13,2,0)</f>
        <v>PET Clear Flakes</v>
      </c>
      <c r="H279" s="4">
        <v>2740</v>
      </c>
      <c r="I279" s="4" t="s">
        <v>9</v>
      </c>
    </row>
    <row r="280" spans="2:9">
      <c r="B280" s="4" t="s">
        <v>689</v>
      </c>
      <c r="C280" s="3">
        <f t="shared" si="4"/>
        <v>45979</v>
      </c>
      <c r="D280" s="4" t="s">
        <v>316</v>
      </c>
      <c r="E280" s="5" t="s">
        <v>13</v>
      </c>
      <c r="F280" s="4" t="s">
        <v>17</v>
      </c>
      <c r="G280" s="5" t="str">
        <f>VLOOKUP(F280,'Master Kode'!$B$3:$D$13,2,0)</f>
        <v>HDPE Mixed Color Flakes</v>
      </c>
      <c r="H280" s="4">
        <v>1990</v>
      </c>
      <c r="I280" s="4" t="s">
        <v>9</v>
      </c>
    </row>
    <row r="281" spans="2:9">
      <c r="B281" s="4" t="s">
        <v>690</v>
      </c>
      <c r="C281" s="3">
        <f t="shared" si="4"/>
        <v>45980</v>
      </c>
      <c r="D281" s="4" t="s">
        <v>317</v>
      </c>
      <c r="E281" s="5" t="s">
        <v>10</v>
      </c>
      <c r="F281" s="4" t="s">
        <v>28</v>
      </c>
      <c r="G281" s="5" t="str">
        <f>VLOOKUP(F281,'Master Kode'!$B$3:$D$13,2,0)</f>
        <v>PET Mixed Color Flakes</v>
      </c>
      <c r="H281" s="4">
        <v>3050</v>
      </c>
      <c r="I281" s="4" t="s">
        <v>9</v>
      </c>
    </row>
    <row r="282" spans="2:9">
      <c r="B282" s="4" t="s">
        <v>691</v>
      </c>
      <c r="C282" s="3">
        <f t="shared" si="4"/>
        <v>45981</v>
      </c>
      <c r="D282" s="4" t="s">
        <v>318</v>
      </c>
      <c r="E282" s="5" t="s">
        <v>19</v>
      </c>
      <c r="F282" s="4" t="s">
        <v>14</v>
      </c>
      <c r="G282" s="5" t="str">
        <f>VLOOKUP(F282,'Master Kode'!$B$3:$D$13,2,0)</f>
        <v>HDPE Natural Flakes</v>
      </c>
      <c r="H282" s="4">
        <v>2480</v>
      </c>
      <c r="I282" s="4" t="s">
        <v>9</v>
      </c>
    </row>
    <row r="283" spans="2:9">
      <c r="B283" s="4" t="s">
        <v>692</v>
      </c>
      <c r="C283" s="3">
        <f t="shared" si="4"/>
        <v>45982</v>
      </c>
      <c r="D283" s="4" t="s">
        <v>319</v>
      </c>
      <c r="E283" s="5" t="s">
        <v>25</v>
      </c>
      <c r="F283" s="4" t="s">
        <v>32</v>
      </c>
      <c r="G283" s="5" t="str">
        <f>VLOOKUP(F283,'Master Kode'!$B$3:$D$13,2,0)</f>
        <v>HDPE Bottle Cap Flakes</v>
      </c>
      <c r="H283" s="4">
        <v>1670</v>
      </c>
      <c r="I283" s="4" t="s">
        <v>9</v>
      </c>
    </row>
    <row r="284" spans="2:9">
      <c r="B284" s="4" t="s">
        <v>693</v>
      </c>
      <c r="C284" s="3">
        <f t="shared" si="4"/>
        <v>45983</v>
      </c>
      <c r="D284" s="4" t="s">
        <v>320</v>
      </c>
      <c r="E284" s="5" t="s">
        <v>22</v>
      </c>
      <c r="F284" s="4" t="s">
        <v>30</v>
      </c>
      <c r="G284" s="5" t="str">
        <f>VLOOKUP(F284,'Master Kode'!$B$3:$D$13,2,0)</f>
        <v>PP White Flakes</v>
      </c>
      <c r="H284" s="4">
        <v>2230</v>
      </c>
      <c r="I284" s="4" t="s">
        <v>9</v>
      </c>
    </row>
    <row r="285" spans="2:9">
      <c r="B285" s="4" t="s">
        <v>694</v>
      </c>
      <c r="C285" s="3">
        <f t="shared" si="4"/>
        <v>45984</v>
      </c>
      <c r="D285" s="4" t="s">
        <v>321</v>
      </c>
      <c r="E285" s="5" t="s">
        <v>16</v>
      </c>
      <c r="F285" s="4" t="s">
        <v>23</v>
      </c>
      <c r="G285" s="5" t="str">
        <f>VLOOKUP(F285,'Master Kode'!$B$3:$D$13,2,0)</f>
        <v>PET Green Flakes</v>
      </c>
      <c r="H285" s="4">
        <v>2870</v>
      </c>
      <c r="I285" s="4" t="s">
        <v>9</v>
      </c>
    </row>
    <row r="286" spans="2:9">
      <c r="B286" s="4" t="s">
        <v>695</v>
      </c>
      <c r="C286" s="3">
        <f t="shared" si="4"/>
        <v>45985</v>
      </c>
      <c r="D286" s="4" t="s">
        <v>322</v>
      </c>
      <c r="E286" s="5" t="s">
        <v>13</v>
      </c>
      <c r="F286" s="4" t="s">
        <v>7</v>
      </c>
      <c r="G286" s="5" t="str">
        <f>VLOOKUP(F286,'Master Kode'!$B$3:$D$13,2,0)</f>
        <v>PET Clear Flakes</v>
      </c>
      <c r="H286" s="4">
        <v>3120</v>
      </c>
      <c r="I286" s="4" t="s">
        <v>9</v>
      </c>
    </row>
    <row r="287" spans="2:9">
      <c r="B287" s="4" t="s">
        <v>696</v>
      </c>
      <c r="C287" s="3">
        <f t="shared" si="4"/>
        <v>45994</v>
      </c>
      <c r="D287" s="4" t="s">
        <v>323</v>
      </c>
      <c r="E287" s="5" t="s">
        <v>6</v>
      </c>
      <c r="F287" s="4" t="s">
        <v>7</v>
      </c>
      <c r="G287" s="5" t="str">
        <f>VLOOKUP(F287,'Master Kode'!$B$3:$D$13,2,0)</f>
        <v>PET Clear Flakes</v>
      </c>
      <c r="H287" s="4">
        <v>1850</v>
      </c>
      <c r="I287" s="4" t="s">
        <v>9</v>
      </c>
    </row>
    <row r="288" spans="2:9">
      <c r="B288" s="4" t="s">
        <v>697</v>
      </c>
      <c r="C288" s="3">
        <f t="shared" si="4"/>
        <v>45995</v>
      </c>
      <c r="D288" s="4" t="s">
        <v>324</v>
      </c>
      <c r="E288" s="5" t="s">
        <v>10</v>
      </c>
      <c r="F288" s="4" t="s">
        <v>11</v>
      </c>
      <c r="G288" s="5" t="str">
        <f>VLOOKUP(F288,'Master Kode'!$B$3:$D$13,2,0)</f>
        <v>PET Blue Flakes</v>
      </c>
      <c r="H288" s="4">
        <v>2950</v>
      </c>
      <c r="I288" s="4" t="s">
        <v>9</v>
      </c>
    </row>
    <row r="289" spans="2:9">
      <c r="B289" s="4" t="s">
        <v>698</v>
      </c>
      <c r="C289" s="3">
        <f t="shared" si="4"/>
        <v>45995</v>
      </c>
      <c r="D289" s="4" t="s">
        <v>325</v>
      </c>
      <c r="E289" s="5" t="s">
        <v>13</v>
      </c>
      <c r="F289" s="4" t="s">
        <v>14</v>
      </c>
      <c r="G289" s="5" t="str">
        <f>VLOOKUP(F289,'Master Kode'!$B$3:$D$13,2,0)</f>
        <v>HDPE Natural Flakes</v>
      </c>
      <c r="H289" s="4">
        <v>2100</v>
      </c>
      <c r="I289" s="4" t="s">
        <v>9</v>
      </c>
    </row>
    <row r="290" spans="2:9">
      <c r="B290" s="4" t="s">
        <v>699</v>
      </c>
      <c r="C290" s="3">
        <f t="shared" si="4"/>
        <v>45996</v>
      </c>
      <c r="D290" s="4" t="s">
        <v>326</v>
      </c>
      <c r="E290" s="5" t="s">
        <v>16</v>
      </c>
      <c r="F290" s="4" t="s">
        <v>17</v>
      </c>
      <c r="G290" s="5" t="str">
        <f>VLOOKUP(F290,'Master Kode'!$B$3:$D$13,2,0)</f>
        <v>HDPE Mixed Color Flakes</v>
      </c>
      <c r="H290" s="4">
        <v>1740</v>
      </c>
      <c r="I290" s="4" t="s">
        <v>9</v>
      </c>
    </row>
    <row r="291" spans="2:9">
      <c r="B291" s="4" t="s">
        <v>700</v>
      </c>
      <c r="C291" s="3">
        <f t="shared" si="4"/>
        <v>45996</v>
      </c>
      <c r="D291" s="4" t="s">
        <v>327</v>
      </c>
      <c r="E291" s="5" t="s">
        <v>19</v>
      </c>
      <c r="F291" s="4" t="s">
        <v>20</v>
      </c>
      <c r="G291" s="5" t="str">
        <f>VLOOKUP(F291,'Master Kode'!$B$3:$D$13,2,0)</f>
        <v>PP Injection Flakes</v>
      </c>
      <c r="H291" s="4">
        <v>2600</v>
      </c>
      <c r="I291" s="4" t="s">
        <v>9</v>
      </c>
    </row>
    <row r="292" spans="2:9">
      <c r="B292" s="4" t="s">
        <v>701</v>
      </c>
      <c r="C292" s="3">
        <f t="shared" si="4"/>
        <v>45997</v>
      </c>
      <c r="D292" s="4" t="s">
        <v>328</v>
      </c>
      <c r="E292" s="5" t="s">
        <v>22</v>
      </c>
      <c r="F292" s="4" t="s">
        <v>23</v>
      </c>
      <c r="G292" s="5" t="str">
        <f>VLOOKUP(F292,'Master Kode'!$B$3:$D$13,2,0)</f>
        <v>PET Green Flakes</v>
      </c>
      <c r="H292" s="4">
        <v>3250</v>
      </c>
      <c r="I292" s="4" t="s">
        <v>9</v>
      </c>
    </row>
    <row r="293" spans="2:9">
      <c r="B293" s="4" t="s">
        <v>702</v>
      </c>
      <c r="C293" s="3">
        <f t="shared" si="4"/>
        <v>45997</v>
      </c>
      <c r="D293" s="4" t="s">
        <v>329</v>
      </c>
      <c r="E293" s="5" t="s">
        <v>25</v>
      </c>
      <c r="F293" s="4" t="s">
        <v>26</v>
      </c>
      <c r="G293" s="5" t="str">
        <f>VLOOKUP(F293,'Master Kode'!$B$3:$D$13,2,0)</f>
        <v>HDPE Blue Drum Flakes</v>
      </c>
      <c r="H293" s="4">
        <v>1480</v>
      </c>
      <c r="I293" s="4" t="s">
        <v>9</v>
      </c>
    </row>
    <row r="294" spans="2:9">
      <c r="B294" s="4" t="s">
        <v>703</v>
      </c>
      <c r="C294" s="3">
        <f t="shared" si="4"/>
        <v>45998</v>
      </c>
      <c r="D294" s="4" t="s">
        <v>330</v>
      </c>
      <c r="E294" s="5" t="s">
        <v>6</v>
      </c>
      <c r="F294" s="4" t="s">
        <v>28</v>
      </c>
      <c r="G294" s="5" t="str">
        <f>VLOOKUP(F294,'Master Kode'!$B$3:$D$13,2,0)</f>
        <v>PET Mixed Color Flakes</v>
      </c>
      <c r="H294" s="4">
        <v>2100</v>
      </c>
      <c r="I294" s="4" t="s">
        <v>9</v>
      </c>
    </row>
    <row r="295" spans="2:9">
      <c r="B295" s="4" t="s">
        <v>704</v>
      </c>
      <c r="C295" s="3">
        <f t="shared" si="4"/>
        <v>45998</v>
      </c>
      <c r="D295" s="4" t="s">
        <v>331</v>
      </c>
      <c r="E295" s="5" t="s">
        <v>10</v>
      </c>
      <c r="F295" s="4" t="s">
        <v>7</v>
      </c>
      <c r="G295" s="5" t="str">
        <f>VLOOKUP(F295,'Master Kode'!$B$3:$D$13,2,0)</f>
        <v>PET Clear Flakes</v>
      </c>
      <c r="H295" s="4">
        <v>3320</v>
      </c>
      <c r="I295" s="4" t="s">
        <v>9</v>
      </c>
    </row>
    <row r="296" spans="2:9">
      <c r="B296" s="4" t="s">
        <v>705</v>
      </c>
      <c r="C296" s="3">
        <f t="shared" si="4"/>
        <v>45999</v>
      </c>
      <c r="D296" s="4" t="s">
        <v>332</v>
      </c>
      <c r="E296" s="5" t="s">
        <v>13</v>
      </c>
      <c r="F296" s="4" t="s">
        <v>30</v>
      </c>
      <c r="G296" s="5" t="str">
        <f>VLOOKUP(F296,'Master Kode'!$B$3:$D$13,2,0)</f>
        <v>PP White Flakes</v>
      </c>
      <c r="H296" s="4">
        <v>2550</v>
      </c>
      <c r="I296" s="4" t="s">
        <v>9</v>
      </c>
    </row>
    <row r="297" spans="2:9">
      <c r="B297" s="4" t="s">
        <v>706</v>
      </c>
      <c r="C297" s="3">
        <f t="shared" si="4"/>
        <v>45999</v>
      </c>
      <c r="D297" s="4" t="s">
        <v>333</v>
      </c>
      <c r="E297" s="5" t="s">
        <v>16</v>
      </c>
      <c r="F297" s="4" t="s">
        <v>17</v>
      </c>
      <c r="G297" s="5" t="str">
        <f>VLOOKUP(F297,'Master Kode'!$B$3:$D$13,2,0)</f>
        <v>HDPE Mixed Color Flakes</v>
      </c>
      <c r="H297" s="4">
        <v>3780</v>
      </c>
      <c r="I297" s="4" t="s">
        <v>9</v>
      </c>
    </row>
    <row r="298" spans="2:9">
      <c r="B298" s="4" t="s">
        <v>707</v>
      </c>
      <c r="C298" s="3">
        <f t="shared" si="4"/>
        <v>46000</v>
      </c>
      <c r="D298" s="4" t="s">
        <v>334</v>
      </c>
      <c r="E298" s="5" t="s">
        <v>19</v>
      </c>
      <c r="F298" s="4" t="s">
        <v>34</v>
      </c>
      <c r="G298" s="5" t="str">
        <f>VLOOKUP(F298,'Master Kode'!$B$3:$D$13,2,0)</f>
        <v>PET Hot Washed Flakes</v>
      </c>
      <c r="H298" s="4">
        <v>3150</v>
      </c>
      <c r="I298" s="4" t="s">
        <v>9</v>
      </c>
    </row>
    <row r="299" spans="2:9">
      <c r="B299" s="4" t="s">
        <v>708</v>
      </c>
      <c r="C299" s="3">
        <f t="shared" si="4"/>
        <v>46000</v>
      </c>
      <c r="D299" s="4" t="s">
        <v>335</v>
      </c>
      <c r="E299" s="5" t="s">
        <v>22</v>
      </c>
      <c r="F299" s="4" t="s">
        <v>11</v>
      </c>
      <c r="G299" s="5" t="str">
        <f>VLOOKUP(F299,'Master Kode'!$B$3:$D$13,2,0)</f>
        <v>PET Blue Flakes</v>
      </c>
      <c r="H299" s="4">
        <v>2890</v>
      </c>
      <c r="I299" s="4" t="s">
        <v>9</v>
      </c>
    </row>
    <row r="300" spans="2:9">
      <c r="B300" s="4" t="s">
        <v>709</v>
      </c>
      <c r="C300" s="3">
        <f t="shared" si="4"/>
        <v>46001</v>
      </c>
      <c r="D300" s="4" t="s">
        <v>336</v>
      </c>
      <c r="E300" s="5" t="s">
        <v>25</v>
      </c>
      <c r="F300" s="4" t="s">
        <v>14</v>
      </c>
      <c r="G300" s="5" t="str">
        <f>VLOOKUP(F300,'Master Kode'!$B$3:$D$13,2,0)</f>
        <v>HDPE Natural Flakes</v>
      </c>
      <c r="H300" s="4">
        <v>1940</v>
      </c>
      <c r="I300" s="4" t="s">
        <v>9</v>
      </c>
    </row>
    <row r="301" spans="2:9">
      <c r="B301" s="4" t="s">
        <v>710</v>
      </c>
      <c r="C301" s="3">
        <f t="shared" si="4"/>
        <v>46002</v>
      </c>
      <c r="D301" s="4" t="s">
        <v>337</v>
      </c>
      <c r="E301" s="5" t="s">
        <v>6</v>
      </c>
      <c r="F301" s="4" t="s">
        <v>7</v>
      </c>
      <c r="G301" s="5" t="str">
        <f>VLOOKUP(F301,'Master Kode'!$B$3:$D$13,2,0)</f>
        <v>PET Clear Flakes</v>
      </c>
      <c r="H301" s="4">
        <v>3500</v>
      </c>
      <c r="I301" s="4" t="s">
        <v>9</v>
      </c>
    </row>
    <row r="302" spans="2:9">
      <c r="B302" s="4" t="s">
        <v>711</v>
      </c>
      <c r="C302" s="3">
        <f t="shared" si="4"/>
        <v>46003</v>
      </c>
      <c r="D302" s="4" t="s">
        <v>338</v>
      </c>
      <c r="E302" s="5" t="s">
        <v>10</v>
      </c>
      <c r="F302" s="4" t="s">
        <v>28</v>
      </c>
      <c r="G302" s="5" t="str">
        <f>VLOOKUP(F302,'Master Kode'!$B$3:$D$13,2,0)</f>
        <v>PET Mixed Color Flakes</v>
      </c>
      <c r="H302" s="4">
        <v>2250</v>
      </c>
      <c r="I302" s="4" t="s">
        <v>9</v>
      </c>
    </row>
    <row r="303" spans="2:9">
      <c r="B303" s="4" t="s">
        <v>712</v>
      </c>
      <c r="C303" s="3">
        <f t="shared" si="4"/>
        <v>46004</v>
      </c>
      <c r="D303" s="4" t="s">
        <v>339</v>
      </c>
      <c r="E303" s="5" t="s">
        <v>13</v>
      </c>
      <c r="F303" s="4" t="s">
        <v>20</v>
      </c>
      <c r="G303" s="5" t="str">
        <f>VLOOKUP(F303,'Master Kode'!$B$3:$D$13,2,0)</f>
        <v>PP Injection Flakes</v>
      </c>
      <c r="H303" s="4">
        <v>2730</v>
      </c>
      <c r="I303" s="4" t="s">
        <v>9</v>
      </c>
    </row>
    <row r="304" spans="2:9">
      <c r="B304" s="4" t="s">
        <v>713</v>
      </c>
      <c r="C304" s="3">
        <f t="shared" si="4"/>
        <v>46005</v>
      </c>
      <c r="D304" s="4" t="s">
        <v>340</v>
      </c>
      <c r="E304" s="5" t="s">
        <v>16</v>
      </c>
      <c r="F304" s="4" t="s">
        <v>26</v>
      </c>
      <c r="G304" s="5" t="str">
        <f>VLOOKUP(F304,'Master Kode'!$B$3:$D$13,2,0)</f>
        <v>HDPE Blue Drum Flakes</v>
      </c>
      <c r="H304" s="4">
        <v>1650</v>
      </c>
      <c r="I304" s="4" t="s">
        <v>9</v>
      </c>
    </row>
    <row r="305" spans="2:9">
      <c r="B305" s="4" t="s">
        <v>714</v>
      </c>
      <c r="C305" s="3">
        <f t="shared" si="4"/>
        <v>46006</v>
      </c>
      <c r="D305" s="4" t="s">
        <v>341</v>
      </c>
      <c r="E305" s="5" t="s">
        <v>19</v>
      </c>
      <c r="F305" s="4" t="s">
        <v>23</v>
      </c>
      <c r="G305" s="5" t="str">
        <f>VLOOKUP(F305,'Master Kode'!$B$3:$D$13,2,0)</f>
        <v>PET Green Flakes</v>
      </c>
      <c r="H305" s="4">
        <v>3080</v>
      </c>
      <c r="I305" s="4" t="s">
        <v>9</v>
      </c>
    </row>
    <row r="306" spans="2:9">
      <c r="B306" s="4" t="s">
        <v>715</v>
      </c>
      <c r="C306" s="3">
        <f t="shared" si="4"/>
        <v>46007</v>
      </c>
      <c r="D306" s="4" t="s">
        <v>342</v>
      </c>
      <c r="E306" s="5" t="s">
        <v>22</v>
      </c>
      <c r="F306" s="4" t="s">
        <v>30</v>
      </c>
      <c r="G306" s="5" t="str">
        <f>VLOOKUP(F306,'Master Kode'!$B$3:$D$13,2,0)</f>
        <v>PP White Flakes</v>
      </c>
      <c r="H306" s="4">
        <v>2420</v>
      </c>
      <c r="I306" s="4" t="s">
        <v>9</v>
      </c>
    </row>
    <row r="307" spans="2:9">
      <c r="B307" s="4" t="s">
        <v>716</v>
      </c>
      <c r="C307" s="3">
        <f t="shared" si="4"/>
        <v>46008</v>
      </c>
      <c r="D307" s="4" t="s">
        <v>343</v>
      </c>
      <c r="E307" s="5" t="s">
        <v>25</v>
      </c>
      <c r="F307" s="4" t="s">
        <v>34</v>
      </c>
      <c r="G307" s="5" t="str">
        <f>VLOOKUP(F307,'Master Kode'!$B$3:$D$13,2,0)</f>
        <v>PET Hot Washed Flakes</v>
      </c>
      <c r="H307" s="4">
        <v>3340</v>
      </c>
      <c r="I307" s="4" t="s">
        <v>9</v>
      </c>
    </row>
    <row r="308" spans="2:9">
      <c r="B308" s="4" t="s">
        <v>717</v>
      </c>
      <c r="C308" s="3">
        <f t="shared" si="4"/>
        <v>46009</v>
      </c>
      <c r="D308" s="4" t="s">
        <v>344</v>
      </c>
      <c r="E308" s="5" t="s">
        <v>6</v>
      </c>
      <c r="F308" s="4" t="s">
        <v>17</v>
      </c>
      <c r="G308" s="5" t="str">
        <f>VLOOKUP(F308,'Master Kode'!$B$3:$D$13,2,0)</f>
        <v>HDPE Mixed Color Flakes</v>
      </c>
      <c r="H308" s="4">
        <v>2870</v>
      </c>
      <c r="I308" s="4" t="s">
        <v>9</v>
      </c>
    </row>
    <row r="309" spans="2:9">
      <c r="B309" s="4" t="s">
        <v>718</v>
      </c>
      <c r="C309" s="3">
        <f t="shared" si="4"/>
        <v>46010</v>
      </c>
      <c r="D309" s="4" t="s">
        <v>345</v>
      </c>
      <c r="E309" s="5" t="s">
        <v>10</v>
      </c>
      <c r="F309" s="4" t="s">
        <v>7</v>
      </c>
      <c r="G309" s="5" t="str">
        <f>VLOOKUP(F309,'Master Kode'!$B$3:$D$13,2,0)</f>
        <v>PET Clear Flakes</v>
      </c>
      <c r="H309" s="4">
        <v>3620</v>
      </c>
      <c r="I309" s="4" t="s">
        <v>9</v>
      </c>
    </row>
    <row r="310" spans="2:9">
      <c r="B310" s="4" t="s">
        <v>719</v>
      </c>
      <c r="C310" s="3">
        <f t="shared" si="4"/>
        <v>46011</v>
      </c>
      <c r="D310" s="4" t="s">
        <v>346</v>
      </c>
      <c r="E310" s="5" t="s">
        <v>13</v>
      </c>
      <c r="F310" s="4" t="s">
        <v>14</v>
      </c>
      <c r="G310" s="5" t="str">
        <f>VLOOKUP(F310,'Master Kode'!$B$3:$D$13,2,0)</f>
        <v>HDPE Natural Flakes</v>
      </c>
      <c r="H310" s="4">
        <v>2080</v>
      </c>
      <c r="I310" s="4" t="s">
        <v>9</v>
      </c>
    </row>
    <row r="311" spans="2:9">
      <c r="B311" s="4" t="s">
        <v>720</v>
      </c>
      <c r="C311" s="3">
        <f t="shared" si="4"/>
        <v>46012</v>
      </c>
      <c r="D311" s="4" t="s">
        <v>347</v>
      </c>
      <c r="E311" s="5" t="s">
        <v>16</v>
      </c>
      <c r="F311" s="4" t="s">
        <v>28</v>
      </c>
      <c r="G311" s="5" t="str">
        <f>VLOOKUP(F311,'Master Kode'!$B$3:$D$13,2,0)</f>
        <v>PET Mixed Color Flakes</v>
      </c>
      <c r="H311" s="4">
        <v>2310</v>
      </c>
      <c r="I311" s="4" t="s">
        <v>9</v>
      </c>
    </row>
    <row r="312" spans="2:9">
      <c r="B312" s="4" t="s">
        <v>721</v>
      </c>
      <c r="C312" s="3">
        <f t="shared" si="4"/>
        <v>46013</v>
      </c>
      <c r="D312" s="4" t="s">
        <v>348</v>
      </c>
      <c r="E312" s="5" t="s">
        <v>19</v>
      </c>
      <c r="F312" s="4" t="s">
        <v>11</v>
      </c>
      <c r="G312" s="5" t="str">
        <f>VLOOKUP(F312,'Master Kode'!$B$3:$D$13,2,0)</f>
        <v>PET Blue Flakes</v>
      </c>
      <c r="H312" s="4">
        <v>2980</v>
      </c>
      <c r="I312" s="4" t="s">
        <v>9</v>
      </c>
    </row>
    <row r="313" spans="2:9">
      <c r="B313" s="4" t="s">
        <v>722</v>
      </c>
      <c r="C313" s="3">
        <f t="shared" si="4"/>
        <v>46014</v>
      </c>
      <c r="D313" s="4" t="s">
        <v>349</v>
      </c>
      <c r="E313" s="5" t="s">
        <v>22</v>
      </c>
      <c r="F313" s="4" t="s">
        <v>20</v>
      </c>
      <c r="G313" s="5" t="str">
        <f>VLOOKUP(F313,'Master Kode'!$B$3:$D$13,2,0)</f>
        <v>PP Injection Flakes</v>
      </c>
      <c r="H313" s="4">
        <v>2750</v>
      </c>
      <c r="I313" s="4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A56DC-A2A8-48B0-8E36-D7216914A009}">
  <dimension ref="B2:Q313"/>
  <sheetViews>
    <sheetView zoomScale="77" zoomScaleNormal="145" workbookViewId="0">
      <selection activeCell="B2" sqref="B2:L313"/>
    </sheetView>
  </sheetViews>
  <sheetFormatPr defaultRowHeight="14.5"/>
  <cols>
    <col min="2" max="2" width="12.7265625" bestFit="1" customWidth="1"/>
    <col min="3" max="3" width="13.6328125" bestFit="1" customWidth="1"/>
    <col min="4" max="4" width="12.453125" bestFit="1" customWidth="1"/>
    <col min="5" max="5" width="11.1796875" bestFit="1" customWidth="1"/>
    <col min="6" max="6" width="23.6328125" bestFit="1" customWidth="1"/>
    <col min="7" max="7" width="11.36328125" bestFit="1" customWidth="1"/>
    <col min="8" max="8" width="21.7265625" bestFit="1" customWidth="1"/>
    <col min="9" max="9" width="5.08984375" bestFit="1" customWidth="1"/>
    <col min="10" max="10" width="6.6328125" bestFit="1" customWidth="1"/>
    <col min="11" max="11" width="13.7265625" bestFit="1" customWidth="1"/>
    <col min="12" max="12" width="16.453125" bestFit="1" customWidth="1"/>
    <col min="15" max="15" width="23.6328125" bestFit="1" customWidth="1"/>
    <col min="16" max="16" width="9.90625" style="35" bestFit="1" customWidth="1"/>
  </cols>
  <sheetData>
    <row r="2" spans="2:17">
      <c r="B2" s="2" t="s">
        <v>406</v>
      </c>
      <c r="C2" s="2" t="s">
        <v>407</v>
      </c>
      <c r="D2" s="2" t="s">
        <v>350</v>
      </c>
      <c r="E2" s="2" t="s">
        <v>0</v>
      </c>
      <c r="F2" s="2" t="s">
        <v>1</v>
      </c>
      <c r="G2" s="2" t="s">
        <v>1015</v>
      </c>
      <c r="H2" s="2" t="s">
        <v>1014</v>
      </c>
      <c r="I2" s="2" t="s">
        <v>38</v>
      </c>
      <c r="J2" s="2" t="s">
        <v>4</v>
      </c>
      <c r="K2" s="15" t="s">
        <v>408</v>
      </c>
      <c r="L2" s="2" t="s">
        <v>409</v>
      </c>
      <c r="N2" s="41" t="s">
        <v>36</v>
      </c>
      <c r="O2" s="41" t="s">
        <v>995</v>
      </c>
      <c r="P2" s="45" t="s">
        <v>1011</v>
      </c>
      <c r="Q2" s="41" t="s">
        <v>1002</v>
      </c>
    </row>
    <row r="3" spans="2:17">
      <c r="B3" s="4" t="s">
        <v>410</v>
      </c>
      <c r="C3" s="3">
        <f>DATE(2000+MID(B3,8,2),MID(B3,6,2),MID(B3,4,2))</f>
        <v>45660</v>
      </c>
      <c r="D3" s="4" t="s">
        <v>352</v>
      </c>
      <c r="E3" s="1" t="s">
        <v>39</v>
      </c>
      <c r="F3" s="5" t="s">
        <v>6</v>
      </c>
      <c r="G3" s="4" t="s">
        <v>7</v>
      </c>
      <c r="H3" s="5" t="str">
        <f>VLOOKUP(G3,'Master Kode'!$B$3:$D$13,2,0)</f>
        <v>PET Clear Flakes</v>
      </c>
      <c r="I3" s="4">
        <v>1205</v>
      </c>
      <c r="J3" s="4" t="s">
        <v>9</v>
      </c>
      <c r="K3" s="16">
        <f>VLOOKUP(G3,'Master Kode'!$B$3:$D$13,3,0)</f>
        <v>12500</v>
      </c>
      <c r="L3" s="16">
        <f>K3*I3</f>
        <v>15062500</v>
      </c>
      <c r="N3" s="40" t="s">
        <v>1003</v>
      </c>
      <c r="O3" s="40" t="str">
        <f>VLOOKUP(N3,'Master Kode'!$F$3:$G$9,2,0)</f>
        <v>PT Bintang Daur Ulang</v>
      </c>
      <c r="P3" s="46">
        <f>SUMIF(F:F,O3,I:I)</f>
        <v>74040</v>
      </c>
      <c r="Q3" s="42">
        <f>P3/$P$10</f>
        <v>9.2160621374691928E-2</v>
      </c>
    </row>
    <row r="4" spans="2:17">
      <c r="B4" s="4" t="s">
        <v>411</v>
      </c>
      <c r="C4" s="3">
        <f t="shared" ref="C4:C67" si="0">DATE(2000+MID(B4,8,2),MID(B4,6,2),MID(B4,4,2))</f>
        <v>45661</v>
      </c>
      <c r="D4" s="4" t="s">
        <v>353</v>
      </c>
      <c r="E4" s="1" t="s">
        <v>40</v>
      </c>
      <c r="F4" s="5" t="s">
        <v>10</v>
      </c>
      <c r="G4" s="4" t="s">
        <v>11</v>
      </c>
      <c r="H4" s="5" t="str">
        <f>VLOOKUP(G4,'Master Kode'!$B$3:$D$13,2,0)</f>
        <v>PET Blue Flakes</v>
      </c>
      <c r="I4" s="4">
        <v>3015</v>
      </c>
      <c r="J4" s="4" t="s">
        <v>9</v>
      </c>
      <c r="K4" s="16">
        <f>VLOOKUP(G4,'Master Kode'!$B$3:$D$13,3,0)</f>
        <v>10000</v>
      </c>
      <c r="L4" s="16">
        <f t="shared" ref="L4:L67" si="1">K4*I4</f>
        <v>30150000</v>
      </c>
      <c r="N4" s="40" t="s">
        <v>1004</v>
      </c>
      <c r="O4" s="40" t="str">
        <f>VLOOKUP(N4,'Master Kode'!$F$3:$G$9,2,0)</f>
        <v>PT Cahaya Plastik Abadi</v>
      </c>
      <c r="P4" s="46">
        <f t="shared" ref="P4:P9" si="2">SUMIF(F:F,O4,I:I)</f>
        <v>115275</v>
      </c>
      <c r="Q4" s="42">
        <f t="shared" ref="Q4:Q9" si="3">P4/$P$10</f>
        <v>0.14348751524807687</v>
      </c>
    </row>
    <row r="5" spans="2:17">
      <c r="B5" s="4" t="s">
        <v>412</v>
      </c>
      <c r="C5" s="3">
        <f t="shared" si="0"/>
        <v>45662</v>
      </c>
      <c r="D5" s="4" t="s">
        <v>354</v>
      </c>
      <c r="E5" s="1" t="s">
        <v>41</v>
      </c>
      <c r="F5" s="5" t="s">
        <v>13</v>
      </c>
      <c r="G5" s="4" t="s">
        <v>14</v>
      </c>
      <c r="H5" s="5" t="str">
        <f>VLOOKUP(G5,'Master Kode'!$B$3:$D$13,2,0)</f>
        <v>HDPE Natural Flakes</v>
      </c>
      <c r="I5" s="4">
        <v>2150</v>
      </c>
      <c r="J5" s="4" t="s">
        <v>9</v>
      </c>
      <c r="K5" s="16">
        <f>VLOOKUP(G5,'Master Kode'!$B$3:$D$13,3,0)</f>
        <v>13500</v>
      </c>
      <c r="L5" s="16">
        <f t="shared" si="1"/>
        <v>29025000</v>
      </c>
      <c r="N5" s="40" t="s">
        <v>1005</v>
      </c>
      <c r="O5" s="40" t="str">
        <f>VLOOKUP(N5,'Master Kode'!$F$3:$G$9,2,0)</f>
        <v>PT Global Recycle Industry</v>
      </c>
      <c r="P5" s="46">
        <f t="shared" si="2"/>
        <v>128865</v>
      </c>
      <c r="Q5" s="42">
        <f t="shared" si="3"/>
        <v>0.16040354502228085</v>
      </c>
    </row>
    <row r="6" spans="2:17">
      <c r="B6" s="4" t="s">
        <v>413</v>
      </c>
      <c r="C6" s="3">
        <f t="shared" si="0"/>
        <v>45662</v>
      </c>
      <c r="D6" s="4" t="s">
        <v>355</v>
      </c>
      <c r="E6" s="1" t="s">
        <v>42</v>
      </c>
      <c r="F6" s="5" t="s">
        <v>16</v>
      </c>
      <c r="G6" s="4" t="s">
        <v>17</v>
      </c>
      <c r="H6" s="5" t="str">
        <f>VLOOKUP(G6,'Master Kode'!$B$3:$D$13,2,0)</f>
        <v>HDPE Mixed Color Flakes</v>
      </c>
      <c r="I6" s="4">
        <v>1890</v>
      </c>
      <c r="J6" s="4" t="s">
        <v>9</v>
      </c>
      <c r="K6" s="16">
        <f>VLOOKUP(G6,'Master Kode'!$B$3:$D$13,3,0)</f>
        <v>9500</v>
      </c>
      <c r="L6" s="16">
        <f t="shared" si="1"/>
        <v>17955000</v>
      </c>
      <c r="N6" s="40" t="s">
        <v>1006</v>
      </c>
      <c r="O6" s="40" t="str">
        <f>VLOOKUP(N6,'Master Kode'!$F$3:$G$9,2,0)</f>
        <v>PT Indo Plastik Mandiri</v>
      </c>
      <c r="P6" s="46">
        <f t="shared" si="2"/>
        <v>114210</v>
      </c>
      <c r="Q6" s="42">
        <f t="shared" si="3"/>
        <v>0.14216186611566134</v>
      </c>
    </row>
    <row r="7" spans="2:17">
      <c r="B7" s="4" t="s">
        <v>414</v>
      </c>
      <c r="C7" s="3">
        <f t="shared" si="0"/>
        <v>45663</v>
      </c>
      <c r="D7" s="4" t="s">
        <v>356</v>
      </c>
      <c r="E7" s="1" t="s">
        <v>43</v>
      </c>
      <c r="F7" s="5" t="s">
        <v>19</v>
      </c>
      <c r="G7" s="4" t="s">
        <v>20</v>
      </c>
      <c r="H7" s="5" t="str">
        <f>VLOOKUP(G7,'Master Kode'!$B$3:$D$13,2,0)</f>
        <v>PP Injection Flakes</v>
      </c>
      <c r="I7" s="4">
        <v>2750</v>
      </c>
      <c r="J7" s="4" t="s">
        <v>9</v>
      </c>
      <c r="K7" s="16">
        <f>VLOOKUP(G7,'Master Kode'!$B$3:$D$13,3,0)</f>
        <v>11000</v>
      </c>
      <c r="L7" s="16">
        <f t="shared" si="1"/>
        <v>30250000</v>
      </c>
      <c r="N7" s="40" t="s">
        <v>1007</v>
      </c>
      <c r="O7" s="40" t="str">
        <f>VLOOKUP(N7,'Master Kode'!$F$3:$G$9,2,0)</f>
        <v>PT Maju Jaya Plastik</v>
      </c>
      <c r="P7" s="46">
        <f t="shared" si="2"/>
        <v>123660</v>
      </c>
      <c r="Q7" s="42">
        <f t="shared" si="3"/>
        <v>0.15392466827653165</v>
      </c>
    </row>
    <row r="8" spans="2:17">
      <c r="B8" s="4" t="s">
        <v>415</v>
      </c>
      <c r="C8" s="3">
        <f t="shared" si="0"/>
        <v>45664</v>
      </c>
      <c r="D8" s="4" t="s">
        <v>357</v>
      </c>
      <c r="E8" s="1" t="s">
        <v>44</v>
      </c>
      <c r="F8" s="5" t="s">
        <v>22</v>
      </c>
      <c r="G8" s="4" t="s">
        <v>23</v>
      </c>
      <c r="H8" s="5" t="str">
        <f>VLOOKUP(G8,'Master Kode'!$B$3:$D$13,2,0)</f>
        <v>PET Green Flakes</v>
      </c>
      <c r="I8" s="4">
        <v>3320</v>
      </c>
      <c r="J8" s="4" t="s">
        <v>9</v>
      </c>
      <c r="K8" s="16">
        <f>VLOOKUP(G8,'Master Kode'!$B$3:$D$13,3,0)</f>
        <v>9000</v>
      </c>
      <c r="L8" s="16">
        <f t="shared" si="1"/>
        <v>29880000</v>
      </c>
      <c r="N8" s="40" t="s">
        <v>1008</v>
      </c>
      <c r="O8" s="40" t="str">
        <f>VLOOKUP(N8,'Master Kode'!$F$3:$G$9,2,0)</f>
        <v>PT Mitra Plastik Nusantara</v>
      </c>
      <c r="P8" s="46">
        <f t="shared" si="2"/>
        <v>115385</v>
      </c>
      <c r="Q8" s="42">
        <f t="shared" si="3"/>
        <v>0.14362443675471134</v>
      </c>
    </row>
    <row r="9" spans="2:17">
      <c r="B9" s="4" t="s">
        <v>416</v>
      </c>
      <c r="C9" s="3">
        <f t="shared" si="0"/>
        <v>45664</v>
      </c>
      <c r="D9" s="4" t="s">
        <v>358</v>
      </c>
      <c r="E9" s="1" t="s">
        <v>45</v>
      </c>
      <c r="F9" s="5" t="s">
        <v>25</v>
      </c>
      <c r="G9" s="4" t="s">
        <v>26</v>
      </c>
      <c r="H9" s="5" t="str">
        <f>VLOOKUP(G9,'Master Kode'!$B$3:$D$13,2,0)</f>
        <v>HDPE Blue Drum Flakes</v>
      </c>
      <c r="I9" s="4">
        <v>1450</v>
      </c>
      <c r="J9" s="4" t="s">
        <v>9</v>
      </c>
      <c r="K9" s="16">
        <f>VLOOKUP(G9,'Master Kode'!$B$3:$D$13,3,0)</f>
        <v>11500</v>
      </c>
      <c r="L9" s="16">
        <f t="shared" si="1"/>
        <v>16675000</v>
      </c>
      <c r="N9" s="40" t="s">
        <v>1009</v>
      </c>
      <c r="O9" s="40" t="str">
        <f>VLOOKUP(N9,'Master Kode'!$F$3:$G$9,2,0)</f>
        <v>PT Surya Polimer Indonesia</v>
      </c>
      <c r="P9" s="46">
        <f t="shared" si="2"/>
        <v>131945</v>
      </c>
      <c r="Q9" s="42">
        <f t="shared" si="3"/>
        <v>0.164237347208046</v>
      </c>
    </row>
    <row r="10" spans="2:17">
      <c r="B10" s="4" t="s">
        <v>417</v>
      </c>
      <c r="C10" s="3">
        <f t="shared" si="0"/>
        <v>45665</v>
      </c>
      <c r="D10" s="4" t="s">
        <v>359</v>
      </c>
      <c r="E10" s="1" t="s">
        <v>46</v>
      </c>
      <c r="F10" s="5" t="s">
        <v>6</v>
      </c>
      <c r="G10" s="4" t="s">
        <v>28</v>
      </c>
      <c r="H10" s="5" t="str">
        <f>VLOOKUP(G10,'Master Kode'!$B$3:$D$13,2,0)</f>
        <v>PET Mixed Color Flakes</v>
      </c>
      <c r="I10" s="4">
        <v>2100</v>
      </c>
      <c r="J10" s="4" t="s">
        <v>9</v>
      </c>
      <c r="K10" s="16">
        <f>VLOOKUP(G10,'Master Kode'!$B$3:$D$13,3,0)</f>
        <v>8500</v>
      </c>
      <c r="L10" s="16">
        <f t="shared" si="1"/>
        <v>17850000</v>
      </c>
      <c r="N10" s="43" t="s">
        <v>1010</v>
      </c>
      <c r="O10" s="44"/>
      <c r="P10" s="47">
        <f>SUM(P3:P9)</f>
        <v>803380</v>
      </c>
      <c r="Q10" s="48">
        <f>SUM(Q3:Q9)</f>
        <v>1</v>
      </c>
    </row>
    <row r="11" spans="2:17">
      <c r="B11" s="4" t="s">
        <v>418</v>
      </c>
      <c r="C11" s="3">
        <f t="shared" si="0"/>
        <v>45666</v>
      </c>
      <c r="D11" s="4" t="s">
        <v>360</v>
      </c>
      <c r="E11" s="1" t="s">
        <v>47</v>
      </c>
      <c r="F11" s="5" t="s">
        <v>10</v>
      </c>
      <c r="G11" s="4" t="s">
        <v>30</v>
      </c>
      <c r="H11" s="5" t="str">
        <f>VLOOKUP(G11,'Master Kode'!$B$3:$D$13,2,0)</f>
        <v>PP White Flakes</v>
      </c>
      <c r="I11" s="4">
        <v>3980</v>
      </c>
      <c r="J11" s="4" t="s">
        <v>9</v>
      </c>
      <c r="K11" s="16">
        <f>VLOOKUP(G11,'Master Kode'!$B$3:$D$13,3,0)</f>
        <v>12000</v>
      </c>
      <c r="L11" s="16">
        <f t="shared" si="1"/>
        <v>47760000</v>
      </c>
    </row>
    <row r="12" spans="2:17">
      <c r="B12" s="4" t="s">
        <v>419</v>
      </c>
      <c r="C12" s="3">
        <f t="shared" si="0"/>
        <v>45667</v>
      </c>
      <c r="D12" s="4" t="s">
        <v>361</v>
      </c>
      <c r="E12" s="1" t="s">
        <v>48</v>
      </c>
      <c r="F12" s="5" t="s">
        <v>13</v>
      </c>
      <c r="G12" s="4" t="s">
        <v>32</v>
      </c>
      <c r="H12" s="5" t="str">
        <f>VLOOKUP(G12,'Master Kode'!$B$3:$D$13,2,0)</f>
        <v>HDPE Bottle Cap Flakes</v>
      </c>
      <c r="I12" s="4">
        <v>2560</v>
      </c>
      <c r="J12" s="4" t="s">
        <v>9</v>
      </c>
      <c r="K12" s="16">
        <f>VLOOKUP(G12,'Master Kode'!$B$3:$D$13,3,0)</f>
        <v>10500</v>
      </c>
      <c r="L12" s="16">
        <f t="shared" si="1"/>
        <v>26880000</v>
      </c>
    </row>
    <row r="13" spans="2:17">
      <c r="B13" s="4" t="s">
        <v>420</v>
      </c>
      <c r="C13" s="3">
        <f t="shared" si="0"/>
        <v>45668</v>
      </c>
      <c r="D13" s="4" t="s">
        <v>362</v>
      </c>
      <c r="E13" s="1" t="s">
        <v>49</v>
      </c>
      <c r="F13" s="5" t="s">
        <v>16</v>
      </c>
      <c r="G13" s="4" t="s">
        <v>34</v>
      </c>
      <c r="H13" s="5" t="str">
        <f>VLOOKUP(G13,'Master Kode'!$B$3:$D$13,2,0)</f>
        <v>PET Hot Washed Flakes</v>
      </c>
      <c r="I13" s="4">
        <v>3175</v>
      </c>
      <c r="J13" s="4" t="s">
        <v>9</v>
      </c>
      <c r="K13" s="16">
        <f>VLOOKUP(G13,'Master Kode'!$B$3:$D$13,3,0)</f>
        <v>14500</v>
      </c>
      <c r="L13" s="16">
        <f t="shared" si="1"/>
        <v>46037500</v>
      </c>
    </row>
    <row r="14" spans="2:17">
      <c r="B14" s="4" t="s">
        <v>421</v>
      </c>
      <c r="C14" s="3">
        <f t="shared" si="0"/>
        <v>45669</v>
      </c>
      <c r="D14" s="4" t="s">
        <v>363</v>
      </c>
      <c r="E14" s="1" t="s">
        <v>50</v>
      </c>
      <c r="F14" s="5" t="s">
        <v>19</v>
      </c>
      <c r="G14" s="4" t="s">
        <v>7</v>
      </c>
      <c r="H14" s="5" t="str">
        <f>VLOOKUP(G14,'Master Kode'!$B$3:$D$13,2,0)</f>
        <v>PET Clear Flakes</v>
      </c>
      <c r="I14" s="4">
        <v>1875</v>
      </c>
      <c r="J14" s="4" t="s">
        <v>9</v>
      </c>
      <c r="K14" s="16">
        <f>VLOOKUP(G14,'Master Kode'!$B$3:$D$13,3,0)</f>
        <v>12500</v>
      </c>
      <c r="L14" s="16">
        <f t="shared" si="1"/>
        <v>23437500</v>
      </c>
    </row>
    <row r="15" spans="2:17">
      <c r="B15" s="4" t="s">
        <v>422</v>
      </c>
      <c r="C15" s="3">
        <f t="shared" si="0"/>
        <v>45670</v>
      </c>
      <c r="D15" s="4" t="s">
        <v>364</v>
      </c>
      <c r="E15" s="1" t="s">
        <v>51</v>
      </c>
      <c r="F15" s="5" t="s">
        <v>22</v>
      </c>
      <c r="G15" s="4" t="s">
        <v>11</v>
      </c>
      <c r="H15" s="5" t="str">
        <f>VLOOKUP(G15,'Master Kode'!$B$3:$D$13,2,0)</f>
        <v>PET Blue Flakes</v>
      </c>
      <c r="I15" s="4">
        <v>2250</v>
      </c>
      <c r="J15" s="4" t="s">
        <v>9</v>
      </c>
      <c r="K15" s="16">
        <f>VLOOKUP(G15,'Master Kode'!$B$3:$D$13,3,0)</f>
        <v>10000</v>
      </c>
      <c r="L15" s="16">
        <f t="shared" si="1"/>
        <v>22500000</v>
      </c>
    </row>
    <row r="16" spans="2:17">
      <c r="B16" s="4" t="s">
        <v>423</v>
      </c>
      <c r="C16" s="3">
        <f t="shared" si="0"/>
        <v>45671</v>
      </c>
      <c r="D16" s="4" t="s">
        <v>365</v>
      </c>
      <c r="E16" s="1" t="s">
        <v>52</v>
      </c>
      <c r="F16" s="5" t="s">
        <v>25</v>
      </c>
      <c r="G16" s="4" t="s">
        <v>14</v>
      </c>
      <c r="H16" s="5" t="str">
        <f>VLOOKUP(G16,'Master Kode'!$B$3:$D$13,2,0)</f>
        <v>HDPE Natural Flakes</v>
      </c>
      <c r="I16" s="4">
        <v>1650</v>
      </c>
      <c r="J16" s="4" t="s">
        <v>9</v>
      </c>
      <c r="K16" s="16">
        <f>VLOOKUP(G16,'Master Kode'!$B$3:$D$13,3,0)</f>
        <v>13500</v>
      </c>
      <c r="L16" s="16">
        <f t="shared" si="1"/>
        <v>22275000</v>
      </c>
    </row>
    <row r="17" spans="2:12">
      <c r="B17" s="4" t="s">
        <v>424</v>
      </c>
      <c r="C17" s="3">
        <f t="shared" si="0"/>
        <v>45672</v>
      </c>
      <c r="D17" s="4" t="s">
        <v>366</v>
      </c>
      <c r="E17" s="1" t="s">
        <v>53</v>
      </c>
      <c r="F17" s="5" t="s">
        <v>6</v>
      </c>
      <c r="G17" s="4" t="s">
        <v>17</v>
      </c>
      <c r="H17" s="5" t="str">
        <f>VLOOKUP(G17,'Master Kode'!$B$3:$D$13,2,0)</f>
        <v>HDPE Mixed Color Flakes</v>
      </c>
      <c r="I17" s="4">
        <v>2890</v>
      </c>
      <c r="J17" s="4" t="s">
        <v>9</v>
      </c>
      <c r="K17" s="16">
        <f>VLOOKUP(G17,'Master Kode'!$B$3:$D$13,3,0)</f>
        <v>9500</v>
      </c>
      <c r="L17" s="16">
        <f t="shared" si="1"/>
        <v>27455000</v>
      </c>
    </row>
    <row r="18" spans="2:12">
      <c r="B18" s="4" t="s">
        <v>425</v>
      </c>
      <c r="C18" s="3">
        <f t="shared" si="0"/>
        <v>45673</v>
      </c>
      <c r="D18" s="4" t="s">
        <v>367</v>
      </c>
      <c r="E18" s="1" t="s">
        <v>54</v>
      </c>
      <c r="F18" s="5" t="s">
        <v>10</v>
      </c>
      <c r="G18" s="4" t="s">
        <v>20</v>
      </c>
      <c r="H18" s="5" t="str">
        <f>VLOOKUP(G18,'Master Kode'!$B$3:$D$13,2,0)</f>
        <v>PP Injection Flakes</v>
      </c>
      <c r="I18" s="4">
        <v>3200</v>
      </c>
      <c r="J18" s="4" t="s">
        <v>9</v>
      </c>
      <c r="K18" s="16">
        <f>VLOOKUP(G18,'Master Kode'!$B$3:$D$13,3,0)</f>
        <v>11000</v>
      </c>
      <c r="L18" s="16">
        <f t="shared" si="1"/>
        <v>35200000</v>
      </c>
    </row>
    <row r="19" spans="2:12">
      <c r="B19" s="4" t="s">
        <v>426</v>
      </c>
      <c r="C19" s="3">
        <f t="shared" si="0"/>
        <v>45674</v>
      </c>
      <c r="D19" s="4" t="s">
        <v>368</v>
      </c>
      <c r="E19" s="1" t="s">
        <v>55</v>
      </c>
      <c r="F19" s="5" t="s">
        <v>13</v>
      </c>
      <c r="G19" s="4" t="s">
        <v>23</v>
      </c>
      <c r="H19" s="5" t="str">
        <f>VLOOKUP(G19,'Master Kode'!$B$3:$D$13,2,0)</f>
        <v>PET Green Flakes</v>
      </c>
      <c r="I19" s="4">
        <v>1425</v>
      </c>
      <c r="J19" s="4" t="s">
        <v>9</v>
      </c>
      <c r="K19" s="16">
        <f>VLOOKUP(G19,'Master Kode'!$B$3:$D$13,3,0)</f>
        <v>9000</v>
      </c>
      <c r="L19" s="16">
        <f t="shared" si="1"/>
        <v>12825000</v>
      </c>
    </row>
    <row r="20" spans="2:12">
      <c r="B20" s="4" t="s">
        <v>427</v>
      </c>
      <c r="C20" s="3">
        <f t="shared" si="0"/>
        <v>45675</v>
      </c>
      <c r="D20" s="4" t="s">
        <v>369</v>
      </c>
      <c r="E20" s="1" t="s">
        <v>56</v>
      </c>
      <c r="F20" s="5" t="s">
        <v>16</v>
      </c>
      <c r="G20" s="4" t="s">
        <v>26</v>
      </c>
      <c r="H20" s="5" t="str">
        <f>VLOOKUP(G20,'Master Kode'!$B$3:$D$13,2,0)</f>
        <v>HDPE Blue Drum Flakes</v>
      </c>
      <c r="I20" s="4">
        <v>2780</v>
      </c>
      <c r="J20" s="4" t="s">
        <v>9</v>
      </c>
      <c r="K20" s="16">
        <f>VLOOKUP(G20,'Master Kode'!$B$3:$D$13,3,0)</f>
        <v>11500</v>
      </c>
      <c r="L20" s="16">
        <f t="shared" si="1"/>
        <v>31970000</v>
      </c>
    </row>
    <row r="21" spans="2:12">
      <c r="B21" s="4" t="s">
        <v>428</v>
      </c>
      <c r="C21" s="3">
        <f t="shared" si="0"/>
        <v>45676</v>
      </c>
      <c r="D21" s="4" t="s">
        <v>370</v>
      </c>
      <c r="E21" s="1" t="s">
        <v>57</v>
      </c>
      <c r="F21" s="5" t="s">
        <v>19</v>
      </c>
      <c r="G21" s="4" t="s">
        <v>28</v>
      </c>
      <c r="H21" s="5" t="str">
        <f>VLOOKUP(G21,'Master Kode'!$B$3:$D$13,2,0)</f>
        <v>PET Mixed Color Flakes</v>
      </c>
      <c r="I21" s="4">
        <v>3340</v>
      </c>
      <c r="J21" s="4" t="s">
        <v>9</v>
      </c>
      <c r="K21" s="16">
        <f>VLOOKUP(G21,'Master Kode'!$B$3:$D$13,3,0)</f>
        <v>8500</v>
      </c>
      <c r="L21" s="16">
        <f t="shared" si="1"/>
        <v>28390000</v>
      </c>
    </row>
    <row r="22" spans="2:12">
      <c r="B22" s="4" t="s">
        <v>429</v>
      </c>
      <c r="C22" s="3">
        <f t="shared" si="0"/>
        <v>45677</v>
      </c>
      <c r="D22" s="4" t="s">
        <v>371</v>
      </c>
      <c r="E22" s="1" t="s">
        <v>58</v>
      </c>
      <c r="F22" s="5" t="s">
        <v>22</v>
      </c>
      <c r="G22" s="4" t="s">
        <v>30</v>
      </c>
      <c r="H22" s="5" t="str">
        <f>VLOOKUP(G22,'Master Kode'!$B$3:$D$13,2,0)</f>
        <v>PP White Flakes</v>
      </c>
      <c r="I22" s="4">
        <v>2450</v>
      </c>
      <c r="J22" s="4" t="s">
        <v>9</v>
      </c>
      <c r="K22" s="16">
        <f>VLOOKUP(G22,'Master Kode'!$B$3:$D$13,3,0)</f>
        <v>12000</v>
      </c>
      <c r="L22" s="16">
        <f t="shared" si="1"/>
        <v>29400000</v>
      </c>
    </row>
    <row r="23" spans="2:12">
      <c r="B23" s="4" t="s">
        <v>430</v>
      </c>
      <c r="C23" s="3">
        <f t="shared" si="0"/>
        <v>45679</v>
      </c>
      <c r="D23" s="4" t="s">
        <v>372</v>
      </c>
      <c r="E23" s="1" t="s">
        <v>59</v>
      </c>
      <c r="F23" s="5" t="s">
        <v>25</v>
      </c>
      <c r="G23" s="4" t="s">
        <v>32</v>
      </c>
      <c r="H23" s="5" t="str">
        <f>VLOOKUP(G23,'Master Kode'!$B$3:$D$13,2,0)</f>
        <v>HDPE Bottle Cap Flakes</v>
      </c>
      <c r="I23" s="4">
        <v>1870</v>
      </c>
      <c r="J23" s="4" t="s">
        <v>9</v>
      </c>
      <c r="K23" s="16">
        <f>VLOOKUP(G23,'Master Kode'!$B$3:$D$13,3,0)</f>
        <v>10500</v>
      </c>
      <c r="L23" s="16">
        <f t="shared" si="1"/>
        <v>19635000</v>
      </c>
    </row>
    <row r="24" spans="2:12">
      <c r="B24" s="4" t="s">
        <v>431</v>
      </c>
      <c r="C24" s="3">
        <f t="shared" si="0"/>
        <v>45681</v>
      </c>
      <c r="D24" s="4" t="s">
        <v>373</v>
      </c>
      <c r="E24" s="1" t="s">
        <v>60</v>
      </c>
      <c r="F24" s="5" t="s">
        <v>6</v>
      </c>
      <c r="G24" s="4" t="s">
        <v>34</v>
      </c>
      <c r="H24" s="5" t="str">
        <f>VLOOKUP(G24,'Master Kode'!$B$3:$D$13,2,0)</f>
        <v>PET Hot Washed Flakes</v>
      </c>
      <c r="I24" s="4">
        <v>2990</v>
      </c>
      <c r="J24" s="4" t="s">
        <v>9</v>
      </c>
      <c r="K24" s="16">
        <f>VLOOKUP(G24,'Master Kode'!$B$3:$D$13,3,0)</f>
        <v>14500</v>
      </c>
      <c r="L24" s="16">
        <f t="shared" si="1"/>
        <v>43355000</v>
      </c>
    </row>
    <row r="25" spans="2:12">
      <c r="B25" s="4" t="s">
        <v>432</v>
      </c>
      <c r="C25" s="3">
        <f t="shared" si="0"/>
        <v>45683</v>
      </c>
      <c r="D25" s="4" t="s">
        <v>374</v>
      </c>
      <c r="E25" s="1" t="s">
        <v>61</v>
      </c>
      <c r="F25" s="5" t="s">
        <v>10</v>
      </c>
      <c r="G25" s="4" t="s">
        <v>11</v>
      </c>
      <c r="H25" s="5" t="str">
        <f>VLOOKUP(G25,'Master Kode'!$B$3:$D$13,2,0)</f>
        <v>PET Blue Flakes</v>
      </c>
      <c r="I25" s="4">
        <v>2150</v>
      </c>
      <c r="J25" s="4" t="s">
        <v>9</v>
      </c>
      <c r="K25" s="16">
        <f>VLOOKUP(G25,'Master Kode'!$B$3:$D$13,3,0)</f>
        <v>10000</v>
      </c>
      <c r="L25" s="16">
        <f t="shared" si="1"/>
        <v>21500000</v>
      </c>
    </row>
    <row r="26" spans="2:12">
      <c r="B26" s="4" t="s">
        <v>433</v>
      </c>
      <c r="C26" s="3">
        <f t="shared" si="0"/>
        <v>45686</v>
      </c>
      <c r="D26" s="4" t="s">
        <v>375</v>
      </c>
      <c r="E26" s="1" t="s">
        <v>62</v>
      </c>
      <c r="F26" s="5" t="s">
        <v>13</v>
      </c>
      <c r="G26" s="4" t="s">
        <v>14</v>
      </c>
      <c r="H26" s="5" t="str">
        <f>VLOOKUP(G26,'Master Kode'!$B$3:$D$13,2,0)</f>
        <v>HDPE Natural Flakes</v>
      </c>
      <c r="I26" s="4">
        <v>1980</v>
      </c>
      <c r="J26" s="4" t="s">
        <v>9</v>
      </c>
      <c r="K26" s="16">
        <f>VLOOKUP(G26,'Master Kode'!$B$3:$D$13,3,0)</f>
        <v>13500</v>
      </c>
      <c r="L26" s="16">
        <f t="shared" si="1"/>
        <v>26730000</v>
      </c>
    </row>
    <row r="27" spans="2:12">
      <c r="B27" s="4" t="s">
        <v>723</v>
      </c>
      <c r="C27" s="3">
        <f t="shared" si="0"/>
        <v>45689</v>
      </c>
      <c r="D27" s="4" t="s">
        <v>466</v>
      </c>
      <c r="E27" s="1" t="s">
        <v>63</v>
      </c>
      <c r="F27" s="5" t="s">
        <v>16</v>
      </c>
      <c r="G27" s="4" t="s">
        <v>17</v>
      </c>
      <c r="H27" s="5" t="str">
        <f>VLOOKUP(G27,'Master Kode'!$B$3:$D$13,2,0)</f>
        <v>HDPE Mixed Color Flakes</v>
      </c>
      <c r="I27" s="4">
        <v>3100</v>
      </c>
      <c r="J27" s="4" t="s">
        <v>9</v>
      </c>
      <c r="K27" s="16">
        <f>VLOOKUP(G27,'Master Kode'!$B$3:$D$13,3,0)</f>
        <v>9500</v>
      </c>
      <c r="L27" s="16">
        <f t="shared" si="1"/>
        <v>29450000</v>
      </c>
    </row>
    <row r="28" spans="2:12">
      <c r="B28" s="4" t="s">
        <v>724</v>
      </c>
      <c r="C28" s="3">
        <f t="shared" si="0"/>
        <v>45691</v>
      </c>
      <c r="D28" s="4" t="s">
        <v>467</v>
      </c>
      <c r="E28" s="1" t="s">
        <v>64</v>
      </c>
      <c r="F28" s="5" t="s">
        <v>6</v>
      </c>
      <c r="G28" s="4" t="s">
        <v>7</v>
      </c>
      <c r="H28" s="5" t="str">
        <f>VLOOKUP(G28,'Master Kode'!$B$3:$D$13,2,0)</f>
        <v>PET Clear Flakes</v>
      </c>
      <c r="I28" s="4">
        <v>2400</v>
      </c>
      <c r="J28" s="4" t="s">
        <v>9</v>
      </c>
      <c r="K28" s="16">
        <f>VLOOKUP(G28,'Master Kode'!$B$3:$D$13,3,0)</f>
        <v>12500</v>
      </c>
      <c r="L28" s="16">
        <f t="shared" si="1"/>
        <v>30000000</v>
      </c>
    </row>
    <row r="29" spans="2:12">
      <c r="B29" s="4" t="s">
        <v>725</v>
      </c>
      <c r="C29" s="3">
        <f t="shared" si="0"/>
        <v>45692</v>
      </c>
      <c r="D29" s="4" t="s">
        <v>468</v>
      </c>
      <c r="E29" s="1" t="s">
        <v>65</v>
      </c>
      <c r="F29" s="5" t="s">
        <v>10</v>
      </c>
      <c r="G29" s="4" t="s">
        <v>14</v>
      </c>
      <c r="H29" s="5" t="str">
        <f>VLOOKUP(G29,'Master Kode'!$B$3:$D$13,2,0)</f>
        <v>HDPE Natural Flakes</v>
      </c>
      <c r="I29" s="4">
        <v>1850</v>
      </c>
      <c r="J29" s="4" t="s">
        <v>9</v>
      </c>
      <c r="K29" s="16">
        <f>VLOOKUP(G29,'Master Kode'!$B$3:$D$13,3,0)</f>
        <v>13500</v>
      </c>
      <c r="L29" s="16">
        <f t="shared" si="1"/>
        <v>24975000</v>
      </c>
    </row>
    <row r="30" spans="2:12">
      <c r="B30" s="4" t="s">
        <v>726</v>
      </c>
      <c r="C30" s="3">
        <f t="shared" si="0"/>
        <v>45693</v>
      </c>
      <c r="D30" s="4" t="s">
        <v>469</v>
      </c>
      <c r="E30" s="1" t="s">
        <v>66</v>
      </c>
      <c r="F30" s="5" t="s">
        <v>16</v>
      </c>
      <c r="G30" s="4" t="s">
        <v>11</v>
      </c>
      <c r="H30" s="5" t="str">
        <f>VLOOKUP(G30,'Master Kode'!$B$3:$D$13,2,0)</f>
        <v>PET Blue Flakes</v>
      </c>
      <c r="I30" s="4">
        <v>3150</v>
      </c>
      <c r="J30" s="4" t="s">
        <v>9</v>
      </c>
      <c r="K30" s="16">
        <f>VLOOKUP(G30,'Master Kode'!$B$3:$D$13,3,0)</f>
        <v>10000</v>
      </c>
      <c r="L30" s="16">
        <f t="shared" si="1"/>
        <v>31500000</v>
      </c>
    </row>
    <row r="31" spans="2:12">
      <c r="B31" s="4" t="s">
        <v>727</v>
      </c>
      <c r="C31" s="3">
        <f t="shared" si="0"/>
        <v>45693</v>
      </c>
      <c r="D31" s="4" t="s">
        <v>470</v>
      </c>
      <c r="E31" s="1" t="s">
        <v>67</v>
      </c>
      <c r="F31" s="5" t="s">
        <v>19</v>
      </c>
      <c r="G31" s="4" t="s">
        <v>20</v>
      </c>
      <c r="H31" s="5" t="str">
        <f>VLOOKUP(G31,'Master Kode'!$B$3:$D$13,2,0)</f>
        <v>PP Injection Flakes</v>
      </c>
      <c r="I31" s="4">
        <v>2950</v>
      </c>
      <c r="J31" s="4" t="s">
        <v>9</v>
      </c>
      <c r="K31" s="16">
        <f>VLOOKUP(G31,'Master Kode'!$B$3:$D$13,3,0)</f>
        <v>11000</v>
      </c>
      <c r="L31" s="16">
        <f t="shared" si="1"/>
        <v>32450000</v>
      </c>
    </row>
    <row r="32" spans="2:12">
      <c r="B32" s="4" t="s">
        <v>728</v>
      </c>
      <c r="C32" s="3">
        <f t="shared" si="0"/>
        <v>45694</v>
      </c>
      <c r="D32" s="4" t="s">
        <v>471</v>
      </c>
      <c r="E32" s="1" t="s">
        <v>68</v>
      </c>
      <c r="F32" s="5" t="s">
        <v>22</v>
      </c>
      <c r="G32" s="4" t="s">
        <v>23</v>
      </c>
      <c r="H32" s="5" t="str">
        <f>VLOOKUP(G32,'Master Kode'!$B$3:$D$13,2,0)</f>
        <v>PET Green Flakes</v>
      </c>
      <c r="I32" s="4">
        <v>1700</v>
      </c>
      <c r="J32" s="4" t="s">
        <v>9</v>
      </c>
      <c r="K32" s="16">
        <f>VLOOKUP(G32,'Master Kode'!$B$3:$D$13,3,0)</f>
        <v>9000</v>
      </c>
      <c r="L32" s="16">
        <f t="shared" si="1"/>
        <v>15300000</v>
      </c>
    </row>
    <row r="33" spans="2:12">
      <c r="B33" s="4" t="s">
        <v>729</v>
      </c>
      <c r="C33" s="3">
        <f t="shared" si="0"/>
        <v>45694</v>
      </c>
      <c r="D33" s="4" t="s">
        <v>472</v>
      </c>
      <c r="E33" s="1" t="s">
        <v>69</v>
      </c>
      <c r="F33" s="5" t="s">
        <v>13</v>
      </c>
      <c r="G33" s="4" t="s">
        <v>17</v>
      </c>
      <c r="H33" s="5" t="str">
        <f>VLOOKUP(G33,'Master Kode'!$B$3:$D$13,2,0)</f>
        <v>HDPE Mixed Color Flakes</v>
      </c>
      <c r="I33" s="4">
        <v>2650</v>
      </c>
      <c r="J33" s="4" t="s">
        <v>9</v>
      </c>
      <c r="K33" s="16">
        <f>VLOOKUP(G33,'Master Kode'!$B$3:$D$13,3,0)</f>
        <v>9500</v>
      </c>
      <c r="L33" s="16">
        <f t="shared" si="1"/>
        <v>25175000</v>
      </c>
    </row>
    <row r="34" spans="2:12">
      <c r="B34" s="4" t="s">
        <v>730</v>
      </c>
      <c r="C34" s="3">
        <f t="shared" si="0"/>
        <v>45695</v>
      </c>
      <c r="D34" s="4" t="s">
        <v>473</v>
      </c>
      <c r="E34" s="1" t="s">
        <v>70</v>
      </c>
      <c r="F34" s="5" t="s">
        <v>25</v>
      </c>
      <c r="G34" s="4" t="s">
        <v>26</v>
      </c>
      <c r="H34" s="5" t="str">
        <f>VLOOKUP(G34,'Master Kode'!$B$3:$D$13,2,0)</f>
        <v>HDPE Blue Drum Flakes</v>
      </c>
      <c r="I34" s="4">
        <v>1425</v>
      </c>
      <c r="J34" s="4" t="s">
        <v>9</v>
      </c>
      <c r="K34" s="16">
        <f>VLOOKUP(G34,'Master Kode'!$B$3:$D$13,3,0)</f>
        <v>11500</v>
      </c>
      <c r="L34" s="16">
        <f t="shared" si="1"/>
        <v>16387500</v>
      </c>
    </row>
    <row r="35" spans="2:12">
      <c r="B35" s="4" t="s">
        <v>731</v>
      </c>
      <c r="C35" s="3">
        <f t="shared" si="0"/>
        <v>45695</v>
      </c>
      <c r="D35" s="4" t="s">
        <v>474</v>
      </c>
      <c r="E35" s="1" t="s">
        <v>71</v>
      </c>
      <c r="F35" s="5" t="s">
        <v>10</v>
      </c>
      <c r="G35" s="4" t="s">
        <v>28</v>
      </c>
      <c r="H35" s="5" t="str">
        <f>VLOOKUP(G35,'Master Kode'!$B$3:$D$13,2,0)</f>
        <v>PET Mixed Color Flakes</v>
      </c>
      <c r="I35" s="4">
        <v>3350</v>
      </c>
      <c r="J35" s="4" t="s">
        <v>9</v>
      </c>
      <c r="K35" s="16">
        <f>VLOOKUP(G35,'Master Kode'!$B$3:$D$13,3,0)</f>
        <v>8500</v>
      </c>
      <c r="L35" s="16">
        <f t="shared" si="1"/>
        <v>28475000</v>
      </c>
    </row>
    <row r="36" spans="2:12">
      <c r="B36" s="4" t="s">
        <v>732</v>
      </c>
      <c r="C36" s="3">
        <f t="shared" si="0"/>
        <v>45696</v>
      </c>
      <c r="D36" s="4" t="s">
        <v>475</v>
      </c>
      <c r="E36" s="1" t="s">
        <v>72</v>
      </c>
      <c r="F36" s="5" t="s">
        <v>6</v>
      </c>
      <c r="G36" s="4" t="s">
        <v>7</v>
      </c>
      <c r="H36" s="5" t="str">
        <f>VLOOKUP(G36,'Master Kode'!$B$3:$D$13,2,0)</f>
        <v>PET Clear Flakes</v>
      </c>
      <c r="I36" s="4">
        <v>2100</v>
      </c>
      <c r="J36" s="4" t="s">
        <v>9</v>
      </c>
      <c r="K36" s="16">
        <f>VLOOKUP(G36,'Master Kode'!$B$3:$D$13,3,0)</f>
        <v>12500</v>
      </c>
      <c r="L36" s="16">
        <f t="shared" si="1"/>
        <v>26250000</v>
      </c>
    </row>
    <row r="37" spans="2:12">
      <c r="B37" s="4" t="s">
        <v>733</v>
      </c>
      <c r="C37" s="3">
        <f t="shared" si="0"/>
        <v>45696</v>
      </c>
      <c r="D37" s="4" t="s">
        <v>476</v>
      </c>
      <c r="E37" s="1" t="s">
        <v>73</v>
      </c>
      <c r="F37" s="5" t="s">
        <v>16</v>
      </c>
      <c r="G37" s="4" t="s">
        <v>34</v>
      </c>
      <c r="H37" s="5" t="str">
        <f>VLOOKUP(G37,'Master Kode'!$B$3:$D$13,2,0)</f>
        <v>PET Hot Washed Flakes</v>
      </c>
      <c r="I37" s="4">
        <v>3900</v>
      </c>
      <c r="J37" s="4" t="s">
        <v>9</v>
      </c>
      <c r="K37" s="16">
        <f>VLOOKUP(G37,'Master Kode'!$B$3:$D$13,3,0)</f>
        <v>14500</v>
      </c>
      <c r="L37" s="16">
        <f t="shared" si="1"/>
        <v>56550000</v>
      </c>
    </row>
    <row r="38" spans="2:12">
      <c r="B38" s="4" t="s">
        <v>734</v>
      </c>
      <c r="C38" s="3">
        <f t="shared" si="0"/>
        <v>45697</v>
      </c>
      <c r="D38" s="4" t="s">
        <v>477</v>
      </c>
      <c r="E38" s="1" t="s">
        <v>74</v>
      </c>
      <c r="F38" s="5" t="s">
        <v>19</v>
      </c>
      <c r="G38" s="4" t="s">
        <v>30</v>
      </c>
      <c r="H38" s="5" t="str">
        <f>VLOOKUP(G38,'Master Kode'!$B$3:$D$13,2,0)</f>
        <v>PP White Flakes</v>
      </c>
      <c r="I38" s="4">
        <v>2500</v>
      </c>
      <c r="J38" s="4" t="s">
        <v>9</v>
      </c>
      <c r="K38" s="16">
        <f>VLOOKUP(G38,'Master Kode'!$B$3:$D$13,3,0)</f>
        <v>12000</v>
      </c>
      <c r="L38" s="16">
        <f t="shared" si="1"/>
        <v>30000000</v>
      </c>
    </row>
    <row r="39" spans="2:12">
      <c r="B39" s="4" t="s">
        <v>735</v>
      </c>
      <c r="C39" s="3">
        <f t="shared" si="0"/>
        <v>45697</v>
      </c>
      <c r="D39" s="4" t="s">
        <v>478</v>
      </c>
      <c r="E39" s="1" t="s">
        <v>75</v>
      </c>
      <c r="F39" s="5" t="s">
        <v>22</v>
      </c>
      <c r="G39" s="4" t="s">
        <v>14</v>
      </c>
      <c r="H39" s="5" t="str">
        <f>VLOOKUP(G39,'Master Kode'!$B$3:$D$13,2,0)</f>
        <v>HDPE Natural Flakes</v>
      </c>
      <c r="I39" s="4">
        <v>1780</v>
      </c>
      <c r="J39" s="4" t="s">
        <v>9</v>
      </c>
      <c r="K39" s="16">
        <f>VLOOKUP(G39,'Master Kode'!$B$3:$D$13,3,0)</f>
        <v>13500</v>
      </c>
      <c r="L39" s="16">
        <f t="shared" si="1"/>
        <v>24030000</v>
      </c>
    </row>
    <row r="40" spans="2:12">
      <c r="B40" s="4" t="s">
        <v>736</v>
      </c>
      <c r="C40" s="3">
        <f t="shared" si="0"/>
        <v>45698</v>
      </c>
      <c r="D40" s="4" t="s">
        <v>479</v>
      </c>
      <c r="E40" s="1" t="s">
        <v>76</v>
      </c>
      <c r="F40" s="5" t="s">
        <v>13</v>
      </c>
      <c r="G40" s="4" t="s">
        <v>11</v>
      </c>
      <c r="H40" s="5" t="str">
        <f>VLOOKUP(G40,'Master Kode'!$B$3:$D$13,2,0)</f>
        <v>PET Blue Flakes</v>
      </c>
      <c r="I40" s="4">
        <v>3200</v>
      </c>
      <c r="J40" s="4" t="s">
        <v>9</v>
      </c>
      <c r="K40" s="16">
        <f>VLOOKUP(G40,'Master Kode'!$B$3:$D$13,3,0)</f>
        <v>10000</v>
      </c>
      <c r="L40" s="16">
        <f t="shared" si="1"/>
        <v>32000000</v>
      </c>
    </row>
    <row r="41" spans="2:12">
      <c r="B41" s="4" t="s">
        <v>737</v>
      </c>
      <c r="C41" s="3">
        <f t="shared" si="0"/>
        <v>45698</v>
      </c>
      <c r="D41" s="4" t="s">
        <v>480</v>
      </c>
      <c r="E41" s="1" t="s">
        <v>77</v>
      </c>
      <c r="F41" s="5" t="s">
        <v>10</v>
      </c>
      <c r="G41" s="4" t="s">
        <v>7</v>
      </c>
      <c r="H41" s="5" t="str">
        <f>VLOOKUP(G41,'Master Kode'!$B$3:$D$13,2,0)</f>
        <v>PET Clear Flakes</v>
      </c>
      <c r="I41" s="4">
        <v>2980</v>
      </c>
      <c r="J41" s="4" t="s">
        <v>9</v>
      </c>
      <c r="K41" s="16">
        <f>VLOOKUP(G41,'Master Kode'!$B$3:$D$13,3,0)</f>
        <v>12500</v>
      </c>
      <c r="L41" s="16">
        <f t="shared" si="1"/>
        <v>37250000</v>
      </c>
    </row>
    <row r="42" spans="2:12">
      <c r="B42" s="4" t="s">
        <v>738</v>
      </c>
      <c r="C42" s="3">
        <f t="shared" si="0"/>
        <v>45699</v>
      </c>
      <c r="D42" s="4" t="s">
        <v>481</v>
      </c>
      <c r="E42" s="1" t="s">
        <v>78</v>
      </c>
      <c r="F42" s="5" t="s">
        <v>25</v>
      </c>
      <c r="G42" s="4" t="s">
        <v>17</v>
      </c>
      <c r="H42" s="5" t="str">
        <f>VLOOKUP(G42,'Master Kode'!$B$3:$D$13,2,0)</f>
        <v>HDPE Mixed Color Flakes</v>
      </c>
      <c r="I42" s="4">
        <v>2300</v>
      </c>
      <c r="J42" s="4" t="s">
        <v>9</v>
      </c>
      <c r="K42" s="16">
        <f>VLOOKUP(G42,'Master Kode'!$B$3:$D$13,3,0)</f>
        <v>9500</v>
      </c>
      <c r="L42" s="16">
        <f t="shared" si="1"/>
        <v>21850000</v>
      </c>
    </row>
    <row r="43" spans="2:12">
      <c r="B43" s="4" t="s">
        <v>739</v>
      </c>
      <c r="C43" s="3">
        <f t="shared" si="0"/>
        <v>45699</v>
      </c>
      <c r="D43" s="4" t="s">
        <v>482</v>
      </c>
      <c r="E43" s="1" t="s">
        <v>79</v>
      </c>
      <c r="F43" s="5" t="s">
        <v>16</v>
      </c>
      <c r="G43" s="4" t="s">
        <v>23</v>
      </c>
      <c r="H43" s="5" t="str">
        <f>VLOOKUP(G43,'Master Kode'!$B$3:$D$13,2,0)</f>
        <v>PET Green Flakes</v>
      </c>
      <c r="I43" s="4">
        <v>3100</v>
      </c>
      <c r="J43" s="4" t="s">
        <v>9</v>
      </c>
      <c r="K43" s="16">
        <f>VLOOKUP(G43,'Master Kode'!$B$3:$D$13,3,0)</f>
        <v>9000</v>
      </c>
      <c r="L43" s="16">
        <f t="shared" si="1"/>
        <v>27900000</v>
      </c>
    </row>
    <row r="44" spans="2:12">
      <c r="B44" s="4" t="s">
        <v>740</v>
      </c>
      <c r="C44" s="3">
        <f t="shared" si="0"/>
        <v>45700</v>
      </c>
      <c r="D44" s="4" t="s">
        <v>483</v>
      </c>
      <c r="E44" s="1" t="s">
        <v>80</v>
      </c>
      <c r="F44" s="5" t="s">
        <v>6</v>
      </c>
      <c r="G44" s="4" t="s">
        <v>32</v>
      </c>
      <c r="H44" s="5" t="str">
        <f>VLOOKUP(G44,'Master Kode'!$B$3:$D$13,2,0)</f>
        <v>HDPE Bottle Cap Flakes</v>
      </c>
      <c r="I44" s="4">
        <v>1600</v>
      </c>
      <c r="J44" s="4" t="s">
        <v>9</v>
      </c>
      <c r="K44" s="16">
        <f>VLOOKUP(G44,'Master Kode'!$B$3:$D$13,3,0)</f>
        <v>10500</v>
      </c>
      <c r="L44" s="16">
        <f t="shared" si="1"/>
        <v>16800000</v>
      </c>
    </row>
    <row r="45" spans="2:12">
      <c r="B45" s="4" t="s">
        <v>741</v>
      </c>
      <c r="C45" s="3">
        <f t="shared" si="0"/>
        <v>45700</v>
      </c>
      <c r="D45" s="4" t="s">
        <v>484</v>
      </c>
      <c r="E45" s="1" t="s">
        <v>81</v>
      </c>
      <c r="F45" s="5" t="s">
        <v>19</v>
      </c>
      <c r="G45" s="4" t="s">
        <v>20</v>
      </c>
      <c r="H45" s="5" t="str">
        <f>VLOOKUP(G45,'Master Kode'!$B$3:$D$13,2,0)</f>
        <v>PP Injection Flakes</v>
      </c>
      <c r="I45" s="4">
        <v>2750</v>
      </c>
      <c r="J45" s="4" t="s">
        <v>9</v>
      </c>
      <c r="K45" s="16">
        <f>VLOOKUP(G45,'Master Kode'!$B$3:$D$13,3,0)</f>
        <v>11000</v>
      </c>
      <c r="L45" s="16">
        <f t="shared" si="1"/>
        <v>30250000</v>
      </c>
    </row>
    <row r="46" spans="2:12">
      <c r="B46" s="4" t="s">
        <v>742</v>
      </c>
      <c r="C46" s="3">
        <f t="shared" si="0"/>
        <v>45701</v>
      </c>
      <c r="D46" s="4" t="s">
        <v>485</v>
      </c>
      <c r="E46" s="1" t="s">
        <v>82</v>
      </c>
      <c r="F46" s="5" t="s">
        <v>10</v>
      </c>
      <c r="G46" s="4" t="s">
        <v>34</v>
      </c>
      <c r="H46" s="5" t="str">
        <f>VLOOKUP(G46,'Master Kode'!$B$3:$D$13,2,0)</f>
        <v>PET Hot Washed Flakes</v>
      </c>
      <c r="I46" s="4">
        <v>3550</v>
      </c>
      <c r="J46" s="4" t="s">
        <v>9</v>
      </c>
      <c r="K46" s="16">
        <f>VLOOKUP(G46,'Master Kode'!$B$3:$D$13,3,0)</f>
        <v>14500</v>
      </c>
      <c r="L46" s="16">
        <f t="shared" si="1"/>
        <v>51475000</v>
      </c>
    </row>
    <row r="47" spans="2:12">
      <c r="B47" s="4" t="s">
        <v>743</v>
      </c>
      <c r="C47" s="3">
        <f t="shared" si="0"/>
        <v>45701</v>
      </c>
      <c r="D47" s="4" t="s">
        <v>486</v>
      </c>
      <c r="E47" s="1" t="s">
        <v>83</v>
      </c>
      <c r="F47" s="5" t="s">
        <v>22</v>
      </c>
      <c r="G47" s="4" t="s">
        <v>11</v>
      </c>
      <c r="H47" s="5" t="str">
        <f>VLOOKUP(G47,'Master Kode'!$B$3:$D$13,2,0)</f>
        <v>PET Blue Flakes</v>
      </c>
      <c r="I47" s="4">
        <v>2900</v>
      </c>
      <c r="J47" s="4" t="s">
        <v>9</v>
      </c>
      <c r="K47" s="16">
        <f>VLOOKUP(G47,'Master Kode'!$B$3:$D$13,3,0)</f>
        <v>10000</v>
      </c>
      <c r="L47" s="16">
        <f t="shared" si="1"/>
        <v>29000000</v>
      </c>
    </row>
    <row r="48" spans="2:12">
      <c r="B48" s="4" t="s">
        <v>744</v>
      </c>
      <c r="C48" s="3">
        <f t="shared" si="0"/>
        <v>45702</v>
      </c>
      <c r="D48" s="4" t="s">
        <v>487</v>
      </c>
      <c r="E48" s="1" t="s">
        <v>84</v>
      </c>
      <c r="F48" s="5" t="s">
        <v>13</v>
      </c>
      <c r="G48" s="4" t="s">
        <v>30</v>
      </c>
      <c r="H48" s="5" t="str">
        <f>VLOOKUP(G48,'Master Kode'!$B$3:$D$13,2,0)</f>
        <v>PP White Flakes</v>
      </c>
      <c r="I48" s="4">
        <v>2600</v>
      </c>
      <c r="J48" s="4" t="s">
        <v>9</v>
      </c>
      <c r="K48" s="16">
        <f>VLOOKUP(G48,'Master Kode'!$B$3:$D$13,3,0)</f>
        <v>12000</v>
      </c>
      <c r="L48" s="16">
        <f t="shared" si="1"/>
        <v>31200000</v>
      </c>
    </row>
    <row r="49" spans="2:12">
      <c r="B49" s="4" t="s">
        <v>745</v>
      </c>
      <c r="C49" s="3">
        <f t="shared" si="0"/>
        <v>45703</v>
      </c>
      <c r="D49" s="4" t="s">
        <v>488</v>
      </c>
      <c r="E49" s="1" t="s">
        <v>85</v>
      </c>
      <c r="F49" s="5" t="s">
        <v>16</v>
      </c>
      <c r="G49" s="4" t="s">
        <v>17</v>
      </c>
      <c r="H49" s="5" t="str">
        <f>VLOOKUP(G49,'Master Kode'!$B$3:$D$13,2,0)</f>
        <v>HDPE Mixed Color Flakes</v>
      </c>
      <c r="I49" s="4">
        <v>3450</v>
      </c>
      <c r="J49" s="4" t="s">
        <v>9</v>
      </c>
      <c r="K49" s="16">
        <f>VLOOKUP(G49,'Master Kode'!$B$3:$D$13,3,0)</f>
        <v>9500</v>
      </c>
      <c r="L49" s="16">
        <f t="shared" si="1"/>
        <v>32775000</v>
      </c>
    </row>
    <row r="50" spans="2:12">
      <c r="B50" s="4" t="s">
        <v>746</v>
      </c>
      <c r="C50" s="3">
        <f t="shared" si="0"/>
        <v>45704</v>
      </c>
      <c r="D50" s="4" t="s">
        <v>489</v>
      </c>
      <c r="E50" s="1" t="s">
        <v>86</v>
      </c>
      <c r="F50" s="5" t="s">
        <v>25</v>
      </c>
      <c r="G50" s="4" t="s">
        <v>26</v>
      </c>
      <c r="H50" s="5" t="str">
        <f>VLOOKUP(G50,'Master Kode'!$B$3:$D$13,2,0)</f>
        <v>HDPE Blue Drum Flakes</v>
      </c>
      <c r="I50" s="4">
        <v>1750</v>
      </c>
      <c r="J50" s="4" t="s">
        <v>9</v>
      </c>
      <c r="K50" s="16">
        <f>VLOOKUP(G50,'Master Kode'!$B$3:$D$13,3,0)</f>
        <v>11500</v>
      </c>
      <c r="L50" s="16">
        <f t="shared" si="1"/>
        <v>20125000</v>
      </c>
    </row>
    <row r="51" spans="2:12">
      <c r="B51" s="4" t="s">
        <v>747</v>
      </c>
      <c r="C51" s="3">
        <f t="shared" si="0"/>
        <v>45705</v>
      </c>
      <c r="D51" s="4" t="s">
        <v>490</v>
      </c>
      <c r="E51" s="1" t="s">
        <v>87</v>
      </c>
      <c r="F51" s="5" t="s">
        <v>19</v>
      </c>
      <c r="G51" s="4" t="s">
        <v>28</v>
      </c>
      <c r="H51" s="5" t="str">
        <f>VLOOKUP(G51,'Master Kode'!$B$3:$D$13,2,0)</f>
        <v>PET Mixed Color Flakes</v>
      </c>
      <c r="I51" s="4">
        <v>3050</v>
      </c>
      <c r="J51" s="4" t="s">
        <v>9</v>
      </c>
      <c r="K51" s="16">
        <f>VLOOKUP(G51,'Master Kode'!$B$3:$D$13,3,0)</f>
        <v>8500</v>
      </c>
      <c r="L51" s="16">
        <f t="shared" si="1"/>
        <v>25925000</v>
      </c>
    </row>
    <row r="52" spans="2:12">
      <c r="B52" s="4" t="s">
        <v>748</v>
      </c>
      <c r="C52" s="3">
        <f t="shared" si="0"/>
        <v>45706</v>
      </c>
      <c r="D52" s="4" t="s">
        <v>491</v>
      </c>
      <c r="E52" s="1" t="s">
        <v>88</v>
      </c>
      <c r="F52" s="5" t="s">
        <v>6</v>
      </c>
      <c r="G52" s="4" t="s">
        <v>7</v>
      </c>
      <c r="H52" s="5" t="str">
        <f>VLOOKUP(G52,'Master Kode'!$B$3:$D$13,2,0)</f>
        <v>PET Clear Flakes</v>
      </c>
      <c r="I52" s="4">
        <v>2850</v>
      </c>
      <c r="J52" s="4" t="s">
        <v>9</v>
      </c>
      <c r="K52" s="16">
        <f>VLOOKUP(G52,'Master Kode'!$B$3:$D$13,3,0)</f>
        <v>12500</v>
      </c>
      <c r="L52" s="16">
        <f t="shared" si="1"/>
        <v>35625000</v>
      </c>
    </row>
    <row r="53" spans="2:12">
      <c r="B53" s="4" t="s">
        <v>434</v>
      </c>
      <c r="C53" s="3">
        <f t="shared" si="0"/>
        <v>45719</v>
      </c>
      <c r="D53" s="4" t="s">
        <v>376</v>
      </c>
      <c r="E53" s="1" t="s">
        <v>89</v>
      </c>
      <c r="F53" s="5" t="s">
        <v>6</v>
      </c>
      <c r="G53" s="4" t="s">
        <v>7</v>
      </c>
      <c r="H53" s="5" t="str">
        <f>VLOOKUP(G53,'Master Kode'!$B$3:$D$13,2,0)</f>
        <v>PET Clear Flakes</v>
      </c>
      <c r="I53" s="4">
        <v>2100</v>
      </c>
      <c r="J53" s="4" t="s">
        <v>9</v>
      </c>
      <c r="K53" s="16">
        <f>VLOOKUP(G53,'Master Kode'!$B$3:$D$13,3,0)</f>
        <v>12500</v>
      </c>
      <c r="L53" s="16">
        <f t="shared" si="1"/>
        <v>26250000</v>
      </c>
    </row>
    <row r="54" spans="2:12">
      <c r="B54" s="4" t="s">
        <v>435</v>
      </c>
      <c r="C54" s="3">
        <f t="shared" si="0"/>
        <v>45720</v>
      </c>
      <c r="D54" s="4" t="s">
        <v>377</v>
      </c>
      <c r="E54" s="1" t="s">
        <v>90</v>
      </c>
      <c r="F54" s="5" t="s">
        <v>10</v>
      </c>
      <c r="G54" s="4" t="s">
        <v>11</v>
      </c>
      <c r="H54" s="5" t="str">
        <f>VLOOKUP(G54,'Master Kode'!$B$3:$D$13,2,0)</f>
        <v>PET Blue Flakes</v>
      </c>
      <c r="I54" s="4">
        <v>3200</v>
      </c>
      <c r="J54" s="4" t="s">
        <v>9</v>
      </c>
      <c r="K54" s="16">
        <f>VLOOKUP(G54,'Master Kode'!$B$3:$D$13,3,0)</f>
        <v>10000</v>
      </c>
      <c r="L54" s="16">
        <f t="shared" si="1"/>
        <v>32000000</v>
      </c>
    </row>
    <row r="55" spans="2:12">
      <c r="B55" s="4" t="s">
        <v>436</v>
      </c>
      <c r="C55" s="3">
        <f t="shared" si="0"/>
        <v>45721</v>
      </c>
      <c r="D55" s="4" t="s">
        <v>378</v>
      </c>
      <c r="E55" s="1" t="s">
        <v>91</v>
      </c>
      <c r="F55" s="5" t="s">
        <v>13</v>
      </c>
      <c r="G55" s="4" t="s">
        <v>14</v>
      </c>
      <c r="H55" s="5" t="str">
        <f>VLOOKUP(G55,'Master Kode'!$B$3:$D$13,2,0)</f>
        <v>HDPE Natural Flakes</v>
      </c>
      <c r="I55" s="4">
        <v>1850</v>
      </c>
      <c r="J55" s="4" t="s">
        <v>9</v>
      </c>
      <c r="K55" s="16">
        <f>VLOOKUP(G55,'Master Kode'!$B$3:$D$13,3,0)</f>
        <v>13500</v>
      </c>
      <c r="L55" s="16">
        <f t="shared" si="1"/>
        <v>24975000</v>
      </c>
    </row>
    <row r="56" spans="2:12">
      <c r="B56" s="4" t="s">
        <v>437</v>
      </c>
      <c r="C56" s="3">
        <f t="shared" si="0"/>
        <v>45722</v>
      </c>
      <c r="D56" s="4" t="s">
        <v>379</v>
      </c>
      <c r="E56" s="1" t="s">
        <v>92</v>
      </c>
      <c r="F56" s="5" t="s">
        <v>16</v>
      </c>
      <c r="G56" s="4" t="s">
        <v>17</v>
      </c>
      <c r="H56" s="5" t="str">
        <f>VLOOKUP(G56,'Master Kode'!$B$3:$D$13,2,0)</f>
        <v>HDPE Mixed Color Flakes</v>
      </c>
      <c r="I56" s="4">
        <v>2400</v>
      </c>
      <c r="J56" s="4" t="s">
        <v>9</v>
      </c>
      <c r="K56" s="16">
        <f>VLOOKUP(G56,'Master Kode'!$B$3:$D$13,3,0)</f>
        <v>9500</v>
      </c>
      <c r="L56" s="16">
        <f t="shared" si="1"/>
        <v>22800000</v>
      </c>
    </row>
    <row r="57" spans="2:12">
      <c r="B57" s="4" t="s">
        <v>438</v>
      </c>
      <c r="C57" s="3">
        <f t="shared" si="0"/>
        <v>45722</v>
      </c>
      <c r="D57" s="4" t="s">
        <v>380</v>
      </c>
      <c r="E57" s="1" t="s">
        <v>93</v>
      </c>
      <c r="F57" s="5" t="s">
        <v>19</v>
      </c>
      <c r="G57" s="4" t="s">
        <v>20</v>
      </c>
      <c r="H57" s="5" t="str">
        <f>VLOOKUP(G57,'Master Kode'!$B$3:$D$13,2,0)</f>
        <v>PP Injection Flakes</v>
      </c>
      <c r="I57" s="4">
        <v>2950</v>
      </c>
      <c r="J57" s="4" t="s">
        <v>9</v>
      </c>
      <c r="K57" s="16">
        <f>VLOOKUP(G57,'Master Kode'!$B$3:$D$13,3,0)</f>
        <v>11000</v>
      </c>
      <c r="L57" s="16">
        <f t="shared" si="1"/>
        <v>32450000</v>
      </c>
    </row>
    <row r="58" spans="2:12">
      <c r="B58" s="4" t="s">
        <v>439</v>
      </c>
      <c r="C58" s="3">
        <f t="shared" si="0"/>
        <v>45723</v>
      </c>
      <c r="D58" s="4" t="s">
        <v>381</v>
      </c>
      <c r="E58" s="1" t="s">
        <v>94</v>
      </c>
      <c r="F58" s="5" t="s">
        <v>22</v>
      </c>
      <c r="G58" s="4" t="s">
        <v>23</v>
      </c>
      <c r="H58" s="5" t="str">
        <f>VLOOKUP(G58,'Master Kode'!$B$3:$D$13,2,0)</f>
        <v>PET Green Flakes</v>
      </c>
      <c r="I58" s="4">
        <v>3100</v>
      </c>
      <c r="J58" s="4" t="s">
        <v>9</v>
      </c>
      <c r="K58" s="16">
        <f>VLOOKUP(G58,'Master Kode'!$B$3:$D$13,3,0)</f>
        <v>9000</v>
      </c>
      <c r="L58" s="16">
        <f t="shared" si="1"/>
        <v>27900000</v>
      </c>
    </row>
    <row r="59" spans="2:12">
      <c r="B59" s="4" t="s">
        <v>440</v>
      </c>
      <c r="C59" s="3">
        <f t="shared" si="0"/>
        <v>45724</v>
      </c>
      <c r="D59" s="4" t="s">
        <v>382</v>
      </c>
      <c r="E59" s="1" t="s">
        <v>95</v>
      </c>
      <c r="F59" s="5" t="s">
        <v>25</v>
      </c>
      <c r="G59" s="4" t="s">
        <v>26</v>
      </c>
      <c r="H59" s="5" t="str">
        <f>VLOOKUP(G59,'Master Kode'!$B$3:$D$13,2,0)</f>
        <v>HDPE Blue Drum Flakes</v>
      </c>
      <c r="I59" s="4">
        <v>1500</v>
      </c>
      <c r="J59" s="4" t="s">
        <v>9</v>
      </c>
      <c r="K59" s="16">
        <f>VLOOKUP(G59,'Master Kode'!$B$3:$D$13,3,0)</f>
        <v>11500</v>
      </c>
      <c r="L59" s="16">
        <f t="shared" si="1"/>
        <v>17250000</v>
      </c>
    </row>
    <row r="60" spans="2:12">
      <c r="B60" s="4" t="s">
        <v>441</v>
      </c>
      <c r="C60" s="3">
        <f t="shared" si="0"/>
        <v>45724</v>
      </c>
      <c r="D60" s="4" t="s">
        <v>383</v>
      </c>
      <c r="E60" s="1" t="s">
        <v>96</v>
      </c>
      <c r="F60" s="5" t="s">
        <v>6</v>
      </c>
      <c r="G60" s="4" t="s">
        <v>28</v>
      </c>
      <c r="H60" s="5" t="str">
        <f>VLOOKUP(G60,'Master Kode'!$B$3:$D$13,2,0)</f>
        <v>PET Mixed Color Flakes</v>
      </c>
      <c r="I60" s="4">
        <v>2700</v>
      </c>
      <c r="J60" s="4" t="s">
        <v>9</v>
      </c>
      <c r="K60" s="16">
        <f>VLOOKUP(G60,'Master Kode'!$B$3:$D$13,3,0)</f>
        <v>8500</v>
      </c>
      <c r="L60" s="16">
        <f t="shared" si="1"/>
        <v>22950000</v>
      </c>
    </row>
    <row r="61" spans="2:12">
      <c r="B61" s="4" t="s">
        <v>442</v>
      </c>
      <c r="C61" s="3">
        <f t="shared" si="0"/>
        <v>45725</v>
      </c>
      <c r="D61" s="4" t="s">
        <v>384</v>
      </c>
      <c r="E61" s="1" t="s">
        <v>97</v>
      </c>
      <c r="F61" s="5" t="s">
        <v>10</v>
      </c>
      <c r="G61" s="4" t="s">
        <v>30</v>
      </c>
      <c r="H61" s="5" t="str">
        <f>VLOOKUP(G61,'Master Kode'!$B$3:$D$13,2,0)</f>
        <v>PP White Flakes</v>
      </c>
      <c r="I61" s="4">
        <v>1980</v>
      </c>
      <c r="J61" s="4" t="s">
        <v>9</v>
      </c>
      <c r="K61" s="16">
        <f>VLOOKUP(G61,'Master Kode'!$B$3:$D$13,3,0)</f>
        <v>12000</v>
      </c>
      <c r="L61" s="16">
        <f t="shared" si="1"/>
        <v>23760000</v>
      </c>
    </row>
    <row r="62" spans="2:12">
      <c r="B62" s="4" t="s">
        <v>443</v>
      </c>
      <c r="C62" s="3">
        <f t="shared" si="0"/>
        <v>45726</v>
      </c>
      <c r="D62" s="4" t="s">
        <v>385</v>
      </c>
      <c r="E62" s="1" t="s">
        <v>98</v>
      </c>
      <c r="F62" s="5" t="s">
        <v>13</v>
      </c>
      <c r="G62" s="4" t="s">
        <v>34</v>
      </c>
      <c r="H62" s="5" t="str">
        <f>VLOOKUP(G62,'Master Kode'!$B$3:$D$13,2,0)</f>
        <v>PET Hot Washed Flakes</v>
      </c>
      <c r="I62" s="4">
        <v>3300</v>
      </c>
      <c r="J62" s="4" t="s">
        <v>9</v>
      </c>
      <c r="K62" s="16">
        <f>VLOOKUP(G62,'Master Kode'!$B$3:$D$13,3,0)</f>
        <v>14500</v>
      </c>
      <c r="L62" s="16">
        <f t="shared" si="1"/>
        <v>47850000</v>
      </c>
    </row>
    <row r="63" spans="2:12">
      <c r="B63" s="4" t="s">
        <v>444</v>
      </c>
      <c r="C63" s="3">
        <f t="shared" si="0"/>
        <v>45727</v>
      </c>
      <c r="D63" s="4" t="s">
        <v>386</v>
      </c>
      <c r="E63" s="1" t="s">
        <v>99</v>
      </c>
      <c r="F63" s="5" t="s">
        <v>16</v>
      </c>
      <c r="G63" s="4" t="s">
        <v>7</v>
      </c>
      <c r="H63" s="5" t="str">
        <f>VLOOKUP(G63,'Master Kode'!$B$3:$D$13,2,0)</f>
        <v>PET Clear Flakes</v>
      </c>
      <c r="I63" s="4">
        <v>2105</v>
      </c>
      <c r="J63" s="4" t="s">
        <v>9</v>
      </c>
      <c r="K63" s="16">
        <f>VLOOKUP(G63,'Master Kode'!$B$3:$D$13,3,0)</f>
        <v>12500</v>
      </c>
      <c r="L63" s="16">
        <f t="shared" si="1"/>
        <v>26312500</v>
      </c>
    </row>
    <row r="64" spans="2:12">
      <c r="B64" s="4" t="s">
        <v>445</v>
      </c>
      <c r="C64" s="3">
        <f t="shared" si="0"/>
        <v>45728</v>
      </c>
      <c r="D64" s="4" t="s">
        <v>387</v>
      </c>
      <c r="E64" s="1" t="s">
        <v>100</v>
      </c>
      <c r="F64" s="5" t="s">
        <v>19</v>
      </c>
      <c r="G64" s="4" t="s">
        <v>11</v>
      </c>
      <c r="H64" s="5" t="str">
        <f>VLOOKUP(G64,'Master Kode'!$B$3:$D$13,2,0)</f>
        <v>PET Blue Flakes</v>
      </c>
      <c r="I64" s="4">
        <v>2870</v>
      </c>
      <c r="J64" s="4" t="s">
        <v>9</v>
      </c>
      <c r="K64" s="16">
        <f>VLOOKUP(G64,'Master Kode'!$B$3:$D$13,3,0)</f>
        <v>10000</v>
      </c>
      <c r="L64" s="16">
        <f t="shared" si="1"/>
        <v>28700000</v>
      </c>
    </row>
    <row r="65" spans="2:12">
      <c r="B65" s="4" t="s">
        <v>446</v>
      </c>
      <c r="C65" s="3">
        <f t="shared" si="0"/>
        <v>45729</v>
      </c>
      <c r="D65" s="4" t="s">
        <v>388</v>
      </c>
      <c r="E65" s="1" t="s">
        <v>101</v>
      </c>
      <c r="F65" s="5" t="s">
        <v>22</v>
      </c>
      <c r="G65" s="4" t="s">
        <v>14</v>
      </c>
      <c r="H65" s="5" t="str">
        <f>VLOOKUP(G65,'Master Kode'!$B$3:$D$13,2,0)</f>
        <v>HDPE Natural Flakes</v>
      </c>
      <c r="I65" s="4">
        <v>2200</v>
      </c>
      <c r="J65" s="4" t="s">
        <v>9</v>
      </c>
      <c r="K65" s="16">
        <f>VLOOKUP(G65,'Master Kode'!$B$3:$D$13,3,0)</f>
        <v>13500</v>
      </c>
      <c r="L65" s="16">
        <f t="shared" si="1"/>
        <v>29700000</v>
      </c>
    </row>
    <row r="66" spans="2:12">
      <c r="B66" s="4" t="s">
        <v>447</v>
      </c>
      <c r="C66" s="3">
        <f t="shared" si="0"/>
        <v>45730</v>
      </c>
      <c r="D66" s="4" t="s">
        <v>389</v>
      </c>
      <c r="E66" s="1" t="s">
        <v>102</v>
      </c>
      <c r="F66" s="5" t="s">
        <v>25</v>
      </c>
      <c r="G66" s="4" t="s">
        <v>17</v>
      </c>
      <c r="H66" s="5" t="str">
        <f>VLOOKUP(G66,'Master Kode'!$B$3:$D$13,2,0)</f>
        <v>HDPE Mixed Color Flakes</v>
      </c>
      <c r="I66" s="4">
        <v>2500</v>
      </c>
      <c r="J66" s="4" t="s">
        <v>9</v>
      </c>
      <c r="K66" s="16">
        <f>VLOOKUP(G66,'Master Kode'!$B$3:$D$13,3,0)</f>
        <v>9500</v>
      </c>
      <c r="L66" s="16">
        <f t="shared" si="1"/>
        <v>23750000</v>
      </c>
    </row>
    <row r="67" spans="2:12">
      <c r="B67" s="4" t="s">
        <v>448</v>
      </c>
      <c r="C67" s="3">
        <f t="shared" si="0"/>
        <v>45731</v>
      </c>
      <c r="D67" s="4" t="s">
        <v>390</v>
      </c>
      <c r="E67" s="1" t="s">
        <v>103</v>
      </c>
      <c r="F67" s="5" t="s">
        <v>6</v>
      </c>
      <c r="G67" s="4" t="s">
        <v>20</v>
      </c>
      <c r="H67" s="5" t="str">
        <f>VLOOKUP(G67,'Master Kode'!$B$3:$D$13,2,0)</f>
        <v>PP Injection Flakes</v>
      </c>
      <c r="I67" s="4">
        <v>3100</v>
      </c>
      <c r="J67" s="4" t="s">
        <v>9</v>
      </c>
      <c r="K67" s="16">
        <f>VLOOKUP(G67,'Master Kode'!$B$3:$D$13,3,0)</f>
        <v>11000</v>
      </c>
      <c r="L67" s="16">
        <f t="shared" si="1"/>
        <v>34100000</v>
      </c>
    </row>
    <row r="68" spans="2:12">
      <c r="B68" s="4" t="s">
        <v>449</v>
      </c>
      <c r="C68" s="3">
        <f t="shared" ref="C68:C131" si="4">DATE(2000+MID(B68,8,2),MID(B68,6,2),MID(B68,4,2))</f>
        <v>45732</v>
      </c>
      <c r="D68" s="4" t="s">
        <v>391</v>
      </c>
      <c r="E68" s="1" t="s">
        <v>104</v>
      </c>
      <c r="F68" s="5" t="s">
        <v>10</v>
      </c>
      <c r="G68" s="4" t="s">
        <v>23</v>
      </c>
      <c r="H68" s="5" t="str">
        <f>VLOOKUP(G68,'Master Kode'!$B$3:$D$13,2,0)</f>
        <v>PET Green Flakes</v>
      </c>
      <c r="I68" s="4">
        <v>2900</v>
      </c>
      <c r="J68" s="4" t="s">
        <v>9</v>
      </c>
      <c r="K68" s="16">
        <f>VLOOKUP(G68,'Master Kode'!$B$3:$D$13,3,0)</f>
        <v>9000</v>
      </c>
      <c r="L68" s="16">
        <f t="shared" ref="L68:L131" si="5">K68*I68</f>
        <v>26100000</v>
      </c>
    </row>
    <row r="69" spans="2:12">
      <c r="B69" s="4" t="s">
        <v>450</v>
      </c>
      <c r="C69" s="3">
        <f t="shared" si="4"/>
        <v>45734</v>
      </c>
      <c r="D69" s="4" t="s">
        <v>392</v>
      </c>
      <c r="E69" s="1" t="s">
        <v>105</v>
      </c>
      <c r="F69" s="5" t="s">
        <v>13</v>
      </c>
      <c r="G69" s="4" t="s">
        <v>26</v>
      </c>
      <c r="H69" s="5" t="str">
        <f>VLOOKUP(G69,'Master Kode'!$B$3:$D$13,2,0)</f>
        <v>HDPE Blue Drum Flakes</v>
      </c>
      <c r="I69" s="4">
        <v>1700</v>
      </c>
      <c r="J69" s="4" t="s">
        <v>9</v>
      </c>
      <c r="K69" s="16">
        <f>VLOOKUP(G69,'Master Kode'!$B$3:$D$13,3,0)</f>
        <v>11500</v>
      </c>
      <c r="L69" s="16">
        <f t="shared" si="5"/>
        <v>19550000</v>
      </c>
    </row>
    <row r="70" spans="2:12">
      <c r="B70" s="4" t="s">
        <v>451</v>
      </c>
      <c r="C70" s="3">
        <f t="shared" si="4"/>
        <v>45735</v>
      </c>
      <c r="D70" s="4" t="s">
        <v>393</v>
      </c>
      <c r="E70" s="1" t="s">
        <v>106</v>
      </c>
      <c r="F70" s="5" t="s">
        <v>16</v>
      </c>
      <c r="G70" s="4" t="s">
        <v>28</v>
      </c>
      <c r="H70" s="5" t="str">
        <f>VLOOKUP(G70,'Master Kode'!$B$3:$D$13,2,0)</f>
        <v>PET Mixed Color Flakes</v>
      </c>
      <c r="I70" s="4">
        <v>2600</v>
      </c>
      <c r="J70" s="4" t="s">
        <v>9</v>
      </c>
      <c r="K70" s="16">
        <f>VLOOKUP(G70,'Master Kode'!$B$3:$D$13,3,0)</f>
        <v>8500</v>
      </c>
      <c r="L70" s="16">
        <f t="shared" si="5"/>
        <v>22100000</v>
      </c>
    </row>
    <row r="71" spans="2:12">
      <c r="B71" s="4" t="s">
        <v>452</v>
      </c>
      <c r="C71" s="3">
        <f t="shared" si="4"/>
        <v>45737</v>
      </c>
      <c r="D71" s="4" t="s">
        <v>394</v>
      </c>
      <c r="E71" s="1" t="s">
        <v>107</v>
      </c>
      <c r="F71" s="5" t="s">
        <v>19</v>
      </c>
      <c r="G71" s="4" t="s">
        <v>30</v>
      </c>
      <c r="H71" s="5" t="str">
        <f>VLOOKUP(G71,'Master Kode'!$B$3:$D$13,2,0)</f>
        <v>PP White Flakes</v>
      </c>
      <c r="I71" s="4">
        <v>2400</v>
      </c>
      <c r="J71" s="4" t="s">
        <v>9</v>
      </c>
      <c r="K71" s="16">
        <f>VLOOKUP(G71,'Master Kode'!$B$3:$D$13,3,0)</f>
        <v>12000</v>
      </c>
      <c r="L71" s="16">
        <f t="shared" si="5"/>
        <v>28800000</v>
      </c>
    </row>
    <row r="72" spans="2:12">
      <c r="B72" s="4" t="s">
        <v>453</v>
      </c>
      <c r="C72" s="3">
        <f t="shared" si="4"/>
        <v>45739</v>
      </c>
      <c r="D72" s="4" t="s">
        <v>395</v>
      </c>
      <c r="E72" s="1" t="s">
        <v>108</v>
      </c>
      <c r="F72" s="5" t="s">
        <v>22</v>
      </c>
      <c r="G72" s="4" t="s">
        <v>7</v>
      </c>
      <c r="H72" s="5" t="str">
        <f>VLOOKUP(G72,'Master Kode'!$B$3:$D$13,2,0)</f>
        <v>PET Clear Flakes</v>
      </c>
      <c r="I72" s="4">
        <v>3100</v>
      </c>
      <c r="J72" s="4" t="s">
        <v>9</v>
      </c>
      <c r="K72" s="16">
        <f>VLOOKUP(G72,'Master Kode'!$B$3:$D$13,3,0)</f>
        <v>12500</v>
      </c>
      <c r="L72" s="16">
        <f t="shared" si="5"/>
        <v>38750000</v>
      </c>
    </row>
    <row r="73" spans="2:12">
      <c r="B73" s="4" t="s">
        <v>454</v>
      </c>
      <c r="C73" s="3">
        <f t="shared" si="4"/>
        <v>45740</v>
      </c>
      <c r="D73" s="4" t="s">
        <v>396</v>
      </c>
      <c r="E73" s="1" t="s">
        <v>109</v>
      </c>
      <c r="F73" s="5" t="s">
        <v>25</v>
      </c>
      <c r="G73" s="4" t="s">
        <v>14</v>
      </c>
      <c r="H73" s="5" t="str">
        <f>VLOOKUP(G73,'Master Kode'!$B$3:$D$13,2,0)</f>
        <v>HDPE Natural Flakes</v>
      </c>
      <c r="I73" s="4">
        <v>2250</v>
      </c>
      <c r="J73" s="4" t="s">
        <v>9</v>
      </c>
      <c r="K73" s="16">
        <f>VLOOKUP(G73,'Master Kode'!$B$3:$D$13,3,0)</f>
        <v>13500</v>
      </c>
      <c r="L73" s="16">
        <f t="shared" si="5"/>
        <v>30375000</v>
      </c>
    </row>
    <row r="74" spans="2:12">
      <c r="B74" s="4" t="s">
        <v>455</v>
      </c>
      <c r="C74" s="3">
        <f t="shared" si="4"/>
        <v>45742</v>
      </c>
      <c r="D74" s="4" t="s">
        <v>397</v>
      </c>
      <c r="E74" s="1" t="s">
        <v>110</v>
      </c>
      <c r="F74" s="5" t="s">
        <v>6</v>
      </c>
      <c r="G74" s="4" t="s">
        <v>34</v>
      </c>
      <c r="H74" s="5" t="str">
        <f>VLOOKUP(G74,'Master Kode'!$B$3:$D$13,2,0)</f>
        <v>PET Hot Washed Flakes</v>
      </c>
      <c r="I74" s="4">
        <v>3450</v>
      </c>
      <c r="J74" s="4" t="s">
        <v>9</v>
      </c>
      <c r="K74" s="16">
        <f>VLOOKUP(G74,'Master Kode'!$B$3:$D$13,3,0)</f>
        <v>14500</v>
      </c>
      <c r="L74" s="16">
        <f t="shared" si="5"/>
        <v>50025000</v>
      </c>
    </row>
    <row r="75" spans="2:12">
      <c r="B75" s="4" t="s">
        <v>456</v>
      </c>
      <c r="C75" s="3">
        <f t="shared" si="4"/>
        <v>45744</v>
      </c>
      <c r="D75" s="4" t="s">
        <v>398</v>
      </c>
      <c r="E75" s="1" t="s">
        <v>111</v>
      </c>
      <c r="F75" s="5" t="s">
        <v>10</v>
      </c>
      <c r="G75" s="4" t="s">
        <v>17</v>
      </c>
      <c r="H75" s="5" t="str">
        <f>VLOOKUP(G75,'Master Kode'!$B$3:$D$13,2,0)</f>
        <v>HDPE Mixed Color Flakes</v>
      </c>
      <c r="I75" s="4">
        <v>2800</v>
      </c>
      <c r="J75" s="4" t="s">
        <v>9</v>
      </c>
      <c r="K75" s="16">
        <f>VLOOKUP(G75,'Master Kode'!$B$3:$D$13,3,0)</f>
        <v>9500</v>
      </c>
      <c r="L75" s="16">
        <f t="shared" si="5"/>
        <v>26600000</v>
      </c>
    </row>
    <row r="76" spans="2:12">
      <c r="B76" s="4" t="s">
        <v>457</v>
      </c>
      <c r="C76" s="3">
        <f t="shared" si="4"/>
        <v>45746</v>
      </c>
      <c r="D76" s="4" t="s">
        <v>399</v>
      </c>
      <c r="E76" s="1" t="s">
        <v>112</v>
      </c>
      <c r="F76" s="5" t="s">
        <v>13</v>
      </c>
      <c r="G76" s="4" t="s">
        <v>11</v>
      </c>
      <c r="H76" s="5" t="str">
        <f>VLOOKUP(G76,'Master Kode'!$B$3:$D$13,2,0)</f>
        <v>PET Blue Flakes</v>
      </c>
      <c r="I76" s="4">
        <v>2600</v>
      </c>
      <c r="J76" s="4" t="s">
        <v>9</v>
      </c>
      <c r="K76" s="16">
        <f>VLOOKUP(G76,'Master Kode'!$B$3:$D$13,3,0)</f>
        <v>10000</v>
      </c>
      <c r="L76" s="16">
        <f t="shared" si="5"/>
        <v>26000000</v>
      </c>
    </row>
    <row r="77" spans="2:12">
      <c r="B77" s="4" t="s">
        <v>458</v>
      </c>
      <c r="C77" s="3">
        <f t="shared" si="4"/>
        <v>45747</v>
      </c>
      <c r="D77" s="4" t="s">
        <v>400</v>
      </c>
      <c r="E77" s="1" t="s">
        <v>113</v>
      </c>
      <c r="F77" s="5" t="s">
        <v>16</v>
      </c>
      <c r="G77" s="4" t="s">
        <v>20</v>
      </c>
      <c r="H77" s="5" t="str">
        <f>VLOOKUP(G77,'Master Kode'!$B$3:$D$13,2,0)</f>
        <v>PP Injection Flakes</v>
      </c>
      <c r="I77" s="4">
        <v>2950</v>
      </c>
      <c r="J77" s="4" t="s">
        <v>9</v>
      </c>
      <c r="K77" s="16">
        <f>VLOOKUP(G77,'Master Kode'!$B$3:$D$13,3,0)</f>
        <v>11000</v>
      </c>
      <c r="L77" s="16">
        <f t="shared" si="5"/>
        <v>32450000</v>
      </c>
    </row>
    <row r="78" spans="2:12">
      <c r="B78" s="4" t="s">
        <v>459</v>
      </c>
      <c r="C78" s="3">
        <f t="shared" si="4"/>
        <v>45750</v>
      </c>
      <c r="D78" s="4" t="s">
        <v>401</v>
      </c>
      <c r="E78" s="1" t="s">
        <v>114</v>
      </c>
      <c r="F78" s="5" t="s">
        <v>6</v>
      </c>
      <c r="G78" s="4" t="s">
        <v>7</v>
      </c>
      <c r="H78" s="5" t="str">
        <f>VLOOKUP(G78,'Master Kode'!$B$3:$D$13,2,0)</f>
        <v>PET Clear Flakes</v>
      </c>
      <c r="I78" s="4">
        <v>1850</v>
      </c>
      <c r="J78" s="4" t="s">
        <v>9</v>
      </c>
      <c r="K78" s="16">
        <f>VLOOKUP(G78,'Master Kode'!$B$3:$D$13,3,0)</f>
        <v>12500</v>
      </c>
      <c r="L78" s="16">
        <f t="shared" si="5"/>
        <v>23125000</v>
      </c>
    </row>
    <row r="79" spans="2:12">
      <c r="B79" s="4" t="s">
        <v>460</v>
      </c>
      <c r="C79" s="3">
        <f t="shared" si="4"/>
        <v>45751</v>
      </c>
      <c r="D79" s="4" t="s">
        <v>402</v>
      </c>
      <c r="E79" s="1" t="s">
        <v>115</v>
      </c>
      <c r="F79" s="5" t="s">
        <v>10</v>
      </c>
      <c r="G79" s="4" t="s">
        <v>11</v>
      </c>
      <c r="H79" s="5" t="str">
        <f>VLOOKUP(G79,'Master Kode'!$B$3:$D$13,2,0)</f>
        <v>PET Blue Flakes</v>
      </c>
      <c r="I79" s="4">
        <v>2450</v>
      </c>
      <c r="J79" s="4" t="s">
        <v>9</v>
      </c>
      <c r="K79" s="16">
        <f>VLOOKUP(G79,'Master Kode'!$B$3:$D$13,3,0)</f>
        <v>10000</v>
      </c>
      <c r="L79" s="16">
        <f t="shared" si="5"/>
        <v>24500000</v>
      </c>
    </row>
    <row r="80" spans="2:12">
      <c r="B80" s="4" t="s">
        <v>749</v>
      </c>
      <c r="C80" s="3">
        <f t="shared" si="4"/>
        <v>45751</v>
      </c>
      <c r="D80" s="4" t="s">
        <v>492</v>
      </c>
      <c r="E80" s="1" t="s">
        <v>116</v>
      </c>
      <c r="F80" s="5" t="s">
        <v>16</v>
      </c>
      <c r="G80" s="4" t="s">
        <v>14</v>
      </c>
      <c r="H80" s="5" t="str">
        <f>VLOOKUP(G80,'Master Kode'!$B$3:$D$13,2,0)</f>
        <v>HDPE Natural Flakes</v>
      </c>
      <c r="I80" s="4">
        <v>2100</v>
      </c>
      <c r="J80" s="4" t="s">
        <v>9</v>
      </c>
      <c r="K80" s="16">
        <f>VLOOKUP(G80,'Master Kode'!$B$3:$D$13,3,0)</f>
        <v>13500</v>
      </c>
      <c r="L80" s="16">
        <f t="shared" si="5"/>
        <v>28350000</v>
      </c>
    </row>
    <row r="81" spans="2:12">
      <c r="B81" s="4" t="s">
        <v>750</v>
      </c>
      <c r="C81" s="3">
        <f t="shared" si="4"/>
        <v>45753</v>
      </c>
      <c r="D81" s="4" t="s">
        <v>493</v>
      </c>
      <c r="E81" s="1" t="s">
        <v>117</v>
      </c>
      <c r="F81" s="5" t="s">
        <v>13</v>
      </c>
      <c r="G81" s="4" t="s">
        <v>17</v>
      </c>
      <c r="H81" s="5" t="str">
        <f>VLOOKUP(G81,'Master Kode'!$B$3:$D$13,2,0)</f>
        <v>HDPE Mixed Color Flakes</v>
      </c>
      <c r="I81" s="4">
        <v>1980</v>
      </c>
      <c r="J81" s="4" t="s">
        <v>9</v>
      </c>
      <c r="K81" s="16">
        <f>VLOOKUP(G81,'Master Kode'!$B$3:$D$13,3,0)</f>
        <v>9500</v>
      </c>
      <c r="L81" s="16">
        <f t="shared" si="5"/>
        <v>18810000</v>
      </c>
    </row>
    <row r="82" spans="2:12">
      <c r="B82" s="4" t="s">
        <v>751</v>
      </c>
      <c r="C82" s="3">
        <f t="shared" si="4"/>
        <v>45753</v>
      </c>
      <c r="D82" s="4" t="s">
        <v>494</v>
      </c>
      <c r="E82" s="1" t="s">
        <v>118</v>
      </c>
      <c r="F82" s="5" t="s">
        <v>19</v>
      </c>
      <c r="G82" s="4" t="s">
        <v>20</v>
      </c>
      <c r="H82" s="5" t="str">
        <f>VLOOKUP(G82,'Master Kode'!$B$3:$D$13,2,0)</f>
        <v>PP Injection Flakes</v>
      </c>
      <c r="I82" s="4">
        <v>2750</v>
      </c>
      <c r="J82" s="4" t="s">
        <v>9</v>
      </c>
      <c r="K82" s="16">
        <f>VLOOKUP(G82,'Master Kode'!$B$3:$D$13,3,0)</f>
        <v>11000</v>
      </c>
      <c r="L82" s="16">
        <f t="shared" si="5"/>
        <v>30250000</v>
      </c>
    </row>
    <row r="83" spans="2:12">
      <c r="B83" s="4" t="s">
        <v>752</v>
      </c>
      <c r="C83" s="3">
        <f t="shared" si="4"/>
        <v>45754</v>
      </c>
      <c r="D83" s="4" t="s">
        <v>495</v>
      </c>
      <c r="E83" s="1" t="s">
        <v>119</v>
      </c>
      <c r="F83" s="5" t="s">
        <v>22</v>
      </c>
      <c r="G83" s="4" t="s">
        <v>23</v>
      </c>
      <c r="H83" s="5" t="str">
        <f>VLOOKUP(G83,'Master Kode'!$B$3:$D$13,2,0)</f>
        <v>PET Green Flakes</v>
      </c>
      <c r="I83" s="4">
        <v>2330</v>
      </c>
      <c r="J83" s="4" t="s">
        <v>9</v>
      </c>
      <c r="K83" s="16">
        <f>VLOOKUP(G83,'Master Kode'!$B$3:$D$13,3,0)</f>
        <v>9000</v>
      </c>
      <c r="L83" s="16">
        <f t="shared" si="5"/>
        <v>20970000</v>
      </c>
    </row>
    <row r="84" spans="2:12">
      <c r="B84" s="4" t="s">
        <v>753</v>
      </c>
      <c r="C84" s="3">
        <f t="shared" si="4"/>
        <v>45755</v>
      </c>
      <c r="D84" s="4" t="s">
        <v>496</v>
      </c>
      <c r="E84" s="1" t="s">
        <v>120</v>
      </c>
      <c r="F84" s="5" t="s">
        <v>25</v>
      </c>
      <c r="G84" s="4" t="s">
        <v>26</v>
      </c>
      <c r="H84" s="5" t="str">
        <f>VLOOKUP(G84,'Master Kode'!$B$3:$D$13,2,0)</f>
        <v>HDPE Blue Drum Flakes</v>
      </c>
      <c r="I84" s="4">
        <v>1650</v>
      </c>
      <c r="J84" s="4" t="s">
        <v>9</v>
      </c>
      <c r="K84" s="16">
        <f>VLOOKUP(G84,'Master Kode'!$B$3:$D$13,3,0)</f>
        <v>11500</v>
      </c>
      <c r="L84" s="16">
        <f t="shared" si="5"/>
        <v>18975000</v>
      </c>
    </row>
    <row r="85" spans="2:12">
      <c r="B85" s="4" t="s">
        <v>754</v>
      </c>
      <c r="C85" s="3">
        <f t="shared" si="4"/>
        <v>45755</v>
      </c>
      <c r="D85" s="4" t="s">
        <v>497</v>
      </c>
      <c r="E85" s="1" t="s">
        <v>121</v>
      </c>
      <c r="F85" s="5" t="s">
        <v>6</v>
      </c>
      <c r="G85" s="4" t="s">
        <v>28</v>
      </c>
      <c r="H85" s="5" t="str">
        <f>VLOOKUP(G85,'Master Kode'!$B$3:$D$13,2,0)</f>
        <v>PET Mixed Color Flakes</v>
      </c>
      <c r="I85" s="4">
        <v>2890</v>
      </c>
      <c r="J85" s="4" t="s">
        <v>9</v>
      </c>
      <c r="K85" s="16">
        <f>VLOOKUP(G85,'Master Kode'!$B$3:$D$13,3,0)</f>
        <v>8500</v>
      </c>
      <c r="L85" s="16">
        <f t="shared" si="5"/>
        <v>24565000</v>
      </c>
    </row>
    <row r="86" spans="2:12">
      <c r="B86" s="4" t="s">
        <v>755</v>
      </c>
      <c r="C86" s="3">
        <f t="shared" si="4"/>
        <v>45756</v>
      </c>
      <c r="D86" s="4" t="s">
        <v>498</v>
      </c>
      <c r="E86" s="1" t="s">
        <v>122</v>
      </c>
      <c r="F86" s="5" t="s">
        <v>10</v>
      </c>
      <c r="G86" s="4" t="s">
        <v>30</v>
      </c>
      <c r="H86" s="5" t="str">
        <f>VLOOKUP(G86,'Master Kode'!$B$3:$D$13,2,0)</f>
        <v>PP White Flakes</v>
      </c>
      <c r="I86" s="4">
        <v>3150</v>
      </c>
      <c r="J86" s="4" t="s">
        <v>9</v>
      </c>
      <c r="K86" s="16">
        <f>VLOOKUP(G86,'Master Kode'!$B$3:$D$13,3,0)</f>
        <v>12000</v>
      </c>
      <c r="L86" s="16">
        <f t="shared" si="5"/>
        <v>37800000</v>
      </c>
    </row>
    <row r="87" spans="2:12">
      <c r="B87" s="4" t="s">
        <v>756</v>
      </c>
      <c r="C87" s="3">
        <f t="shared" si="4"/>
        <v>45757</v>
      </c>
      <c r="D87" s="4" t="s">
        <v>499</v>
      </c>
      <c r="E87" s="1" t="s">
        <v>123</v>
      </c>
      <c r="F87" s="5" t="s">
        <v>16</v>
      </c>
      <c r="G87" s="4" t="s">
        <v>7</v>
      </c>
      <c r="H87" s="5" t="str">
        <f>VLOOKUP(G87,'Master Kode'!$B$3:$D$13,2,0)</f>
        <v>PET Clear Flakes</v>
      </c>
      <c r="I87" s="4">
        <v>1990</v>
      </c>
      <c r="J87" s="4" t="s">
        <v>9</v>
      </c>
      <c r="K87" s="16">
        <f>VLOOKUP(G87,'Master Kode'!$B$3:$D$13,3,0)</f>
        <v>12500</v>
      </c>
      <c r="L87" s="16">
        <f t="shared" si="5"/>
        <v>24875000</v>
      </c>
    </row>
    <row r="88" spans="2:12">
      <c r="B88" s="4" t="s">
        <v>757</v>
      </c>
      <c r="C88" s="3">
        <f t="shared" si="4"/>
        <v>45758</v>
      </c>
      <c r="D88" s="4" t="s">
        <v>500</v>
      </c>
      <c r="E88" s="1" t="s">
        <v>124</v>
      </c>
      <c r="F88" s="5" t="s">
        <v>19</v>
      </c>
      <c r="G88" s="4" t="s">
        <v>11</v>
      </c>
      <c r="H88" s="5" t="str">
        <f>VLOOKUP(G88,'Master Kode'!$B$3:$D$13,2,0)</f>
        <v>PET Blue Flakes</v>
      </c>
      <c r="I88" s="4">
        <v>2210</v>
      </c>
      <c r="J88" s="4" t="s">
        <v>9</v>
      </c>
      <c r="K88" s="16">
        <f>VLOOKUP(G88,'Master Kode'!$B$3:$D$13,3,0)</f>
        <v>10000</v>
      </c>
      <c r="L88" s="16">
        <f t="shared" si="5"/>
        <v>22100000</v>
      </c>
    </row>
    <row r="89" spans="2:12">
      <c r="B89" s="4" t="s">
        <v>758</v>
      </c>
      <c r="C89" s="3">
        <f t="shared" si="4"/>
        <v>45758</v>
      </c>
      <c r="D89" s="4" t="s">
        <v>501</v>
      </c>
      <c r="E89" s="1" t="s">
        <v>125</v>
      </c>
      <c r="F89" s="5" t="s">
        <v>13</v>
      </c>
      <c r="G89" s="4" t="s">
        <v>32</v>
      </c>
      <c r="H89" s="5" t="str">
        <f>VLOOKUP(G89,'Master Kode'!$B$3:$D$13,2,0)</f>
        <v>HDPE Bottle Cap Flakes</v>
      </c>
      <c r="I89" s="4">
        <v>1870</v>
      </c>
      <c r="J89" s="4" t="s">
        <v>9</v>
      </c>
      <c r="K89" s="16">
        <f>VLOOKUP(G89,'Master Kode'!$B$3:$D$13,3,0)</f>
        <v>10500</v>
      </c>
      <c r="L89" s="16">
        <f t="shared" si="5"/>
        <v>19635000</v>
      </c>
    </row>
    <row r="90" spans="2:12">
      <c r="B90" s="4" t="s">
        <v>759</v>
      </c>
      <c r="C90" s="3">
        <f t="shared" si="4"/>
        <v>45762</v>
      </c>
      <c r="D90" s="4" t="s">
        <v>502</v>
      </c>
      <c r="E90" s="1" t="s">
        <v>126</v>
      </c>
      <c r="F90" s="5" t="s">
        <v>22</v>
      </c>
      <c r="G90" s="4" t="s">
        <v>34</v>
      </c>
      <c r="H90" s="5" t="str">
        <f>VLOOKUP(G90,'Master Kode'!$B$3:$D$13,2,0)</f>
        <v>PET Hot Washed Flakes</v>
      </c>
      <c r="I90" s="4">
        <v>3200</v>
      </c>
      <c r="J90" s="4" t="s">
        <v>9</v>
      </c>
      <c r="K90" s="16">
        <f>VLOOKUP(G90,'Master Kode'!$B$3:$D$13,3,0)</f>
        <v>14500</v>
      </c>
      <c r="L90" s="16">
        <f t="shared" si="5"/>
        <v>46400000</v>
      </c>
    </row>
    <row r="91" spans="2:12">
      <c r="B91" s="4" t="s">
        <v>760</v>
      </c>
      <c r="C91" s="3">
        <f t="shared" si="4"/>
        <v>45762</v>
      </c>
      <c r="D91" s="4" t="s">
        <v>503</v>
      </c>
      <c r="E91" s="1" t="s">
        <v>127</v>
      </c>
      <c r="F91" s="5" t="s">
        <v>25</v>
      </c>
      <c r="G91" s="4" t="s">
        <v>14</v>
      </c>
      <c r="H91" s="5" t="str">
        <f>VLOOKUP(G91,'Master Kode'!$B$3:$D$13,2,0)</f>
        <v>HDPE Natural Flakes</v>
      </c>
      <c r="I91" s="4">
        <v>1780</v>
      </c>
      <c r="J91" s="4" t="s">
        <v>9</v>
      </c>
      <c r="K91" s="16">
        <f>VLOOKUP(G91,'Master Kode'!$B$3:$D$13,3,0)</f>
        <v>13500</v>
      </c>
      <c r="L91" s="16">
        <f t="shared" si="5"/>
        <v>24030000</v>
      </c>
    </row>
    <row r="92" spans="2:12">
      <c r="B92" s="4" t="s">
        <v>761</v>
      </c>
      <c r="C92" s="3">
        <f t="shared" si="4"/>
        <v>45763</v>
      </c>
      <c r="D92" s="4" t="s">
        <v>504</v>
      </c>
      <c r="E92" s="1" t="s">
        <v>128</v>
      </c>
      <c r="F92" s="5" t="s">
        <v>6</v>
      </c>
      <c r="G92" s="4" t="s">
        <v>20</v>
      </c>
      <c r="H92" s="5" t="str">
        <f>VLOOKUP(G92,'Master Kode'!$B$3:$D$13,2,0)</f>
        <v>PP Injection Flakes</v>
      </c>
      <c r="I92" s="4">
        <v>2640</v>
      </c>
      <c r="J92" s="4" t="s">
        <v>9</v>
      </c>
      <c r="K92" s="16">
        <f>VLOOKUP(G92,'Master Kode'!$B$3:$D$13,3,0)</f>
        <v>11000</v>
      </c>
      <c r="L92" s="16">
        <f t="shared" si="5"/>
        <v>29040000</v>
      </c>
    </row>
    <row r="93" spans="2:12">
      <c r="B93" s="4" t="s">
        <v>762</v>
      </c>
      <c r="C93" s="3">
        <f t="shared" si="4"/>
        <v>45765</v>
      </c>
      <c r="D93" s="4" t="s">
        <v>505</v>
      </c>
      <c r="E93" s="1" t="s">
        <v>129</v>
      </c>
      <c r="F93" s="5" t="s">
        <v>10</v>
      </c>
      <c r="G93" s="4" t="s">
        <v>28</v>
      </c>
      <c r="H93" s="5" t="str">
        <f>VLOOKUP(G93,'Master Kode'!$B$3:$D$13,2,0)</f>
        <v>PET Mixed Color Flakes</v>
      </c>
      <c r="I93" s="4">
        <v>3010</v>
      </c>
      <c r="J93" s="4" t="s">
        <v>9</v>
      </c>
      <c r="K93" s="16">
        <f>VLOOKUP(G93,'Master Kode'!$B$3:$D$13,3,0)</f>
        <v>8500</v>
      </c>
      <c r="L93" s="16">
        <f t="shared" si="5"/>
        <v>25585000</v>
      </c>
    </row>
    <row r="94" spans="2:12">
      <c r="B94" s="4" t="s">
        <v>763</v>
      </c>
      <c r="C94" s="3">
        <f t="shared" si="4"/>
        <v>45765</v>
      </c>
      <c r="D94" s="4" t="s">
        <v>506</v>
      </c>
      <c r="E94" s="1" t="s">
        <v>130</v>
      </c>
      <c r="F94" s="5" t="s">
        <v>16</v>
      </c>
      <c r="G94" s="4" t="s">
        <v>17</v>
      </c>
      <c r="H94" s="5" t="str">
        <f>VLOOKUP(G94,'Master Kode'!$B$3:$D$13,2,0)</f>
        <v>HDPE Mixed Color Flakes</v>
      </c>
      <c r="I94" s="4">
        <v>2190</v>
      </c>
      <c r="J94" s="4" t="s">
        <v>9</v>
      </c>
      <c r="K94" s="16">
        <f>VLOOKUP(G94,'Master Kode'!$B$3:$D$13,3,0)</f>
        <v>9500</v>
      </c>
      <c r="L94" s="16">
        <f t="shared" si="5"/>
        <v>20805000</v>
      </c>
    </row>
    <row r="95" spans="2:12">
      <c r="B95" s="4" t="s">
        <v>764</v>
      </c>
      <c r="C95" s="3">
        <f t="shared" si="4"/>
        <v>45766</v>
      </c>
      <c r="D95" s="4" t="s">
        <v>507</v>
      </c>
      <c r="E95" s="1" t="s">
        <v>131</v>
      </c>
      <c r="F95" s="5" t="s">
        <v>19</v>
      </c>
      <c r="G95" s="4" t="s">
        <v>30</v>
      </c>
      <c r="H95" s="5" t="str">
        <f>VLOOKUP(G95,'Master Kode'!$B$3:$D$13,2,0)</f>
        <v>PP White Flakes</v>
      </c>
      <c r="I95" s="4">
        <v>2440</v>
      </c>
      <c r="J95" s="4" t="s">
        <v>9</v>
      </c>
      <c r="K95" s="16">
        <f>VLOOKUP(G95,'Master Kode'!$B$3:$D$13,3,0)</f>
        <v>12000</v>
      </c>
      <c r="L95" s="16">
        <f t="shared" si="5"/>
        <v>29280000</v>
      </c>
    </row>
    <row r="96" spans="2:12">
      <c r="B96" s="4" t="s">
        <v>765</v>
      </c>
      <c r="C96" s="3">
        <f t="shared" si="4"/>
        <v>45770</v>
      </c>
      <c r="D96" s="4" t="s">
        <v>508</v>
      </c>
      <c r="E96" s="1" t="s">
        <v>132</v>
      </c>
      <c r="F96" s="5" t="s">
        <v>13</v>
      </c>
      <c r="G96" s="4" t="s">
        <v>23</v>
      </c>
      <c r="H96" s="5" t="str">
        <f>VLOOKUP(G96,'Master Kode'!$B$3:$D$13,2,0)</f>
        <v>PET Green Flakes</v>
      </c>
      <c r="I96" s="4">
        <v>2310</v>
      </c>
      <c r="J96" s="4" t="s">
        <v>9</v>
      </c>
      <c r="K96" s="16">
        <f>VLOOKUP(G96,'Master Kode'!$B$3:$D$13,3,0)</f>
        <v>9000</v>
      </c>
      <c r="L96" s="16">
        <f t="shared" si="5"/>
        <v>20790000</v>
      </c>
    </row>
    <row r="97" spans="2:12">
      <c r="B97" s="4" t="s">
        <v>766</v>
      </c>
      <c r="C97" s="3">
        <f t="shared" si="4"/>
        <v>45770</v>
      </c>
      <c r="D97" s="4" t="s">
        <v>509</v>
      </c>
      <c r="E97" s="1" t="s">
        <v>133</v>
      </c>
      <c r="F97" s="5" t="s">
        <v>22</v>
      </c>
      <c r="G97" s="4" t="s">
        <v>7</v>
      </c>
      <c r="H97" s="5" t="str">
        <f>VLOOKUP(G97,'Master Kode'!$B$3:$D$13,2,0)</f>
        <v>PET Clear Flakes</v>
      </c>
      <c r="I97" s="4">
        <v>2950</v>
      </c>
      <c r="J97" s="4" t="s">
        <v>9</v>
      </c>
      <c r="K97" s="16">
        <f>VLOOKUP(G97,'Master Kode'!$B$3:$D$13,3,0)</f>
        <v>12500</v>
      </c>
      <c r="L97" s="16">
        <f t="shared" si="5"/>
        <v>36875000</v>
      </c>
    </row>
    <row r="98" spans="2:12">
      <c r="B98" s="4" t="s">
        <v>767</v>
      </c>
      <c r="C98" s="3">
        <f t="shared" si="4"/>
        <v>45771</v>
      </c>
      <c r="D98" s="4" t="s">
        <v>510</v>
      </c>
      <c r="E98" s="1" t="s">
        <v>134</v>
      </c>
      <c r="F98" s="5" t="s">
        <v>25</v>
      </c>
      <c r="G98" s="4" t="s">
        <v>11</v>
      </c>
      <c r="H98" s="5" t="str">
        <f>VLOOKUP(G98,'Master Kode'!$B$3:$D$13,2,0)</f>
        <v>PET Blue Flakes</v>
      </c>
      <c r="I98" s="4">
        <v>2075</v>
      </c>
      <c r="J98" s="4" t="s">
        <v>9</v>
      </c>
      <c r="K98" s="16">
        <f>VLOOKUP(G98,'Master Kode'!$B$3:$D$13,3,0)</f>
        <v>10000</v>
      </c>
      <c r="L98" s="16">
        <f t="shared" si="5"/>
        <v>20750000</v>
      </c>
    </row>
    <row r="99" spans="2:12">
      <c r="B99" s="4" t="s">
        <v>768</v>
      </c>
      <c r="C99" s="3">
        <f t="shared" si="4"/>
        <v>45774</v>
      </c>
      <c r="D99" s="4" t="s">
        <v>511</v>
      </c>
      <c r="E99" s="1" t="s">
        <v>135</v>
      </c>
      <c r="F99" s="5" t="s">
        <v>16</v>
      </c>
      <c r="G99" s="4" t="s">
        <v>32</v>
      </c>
      <c r="H99" s="5" t="str">
        <f>VLOOKUP(G99,'Master Kode'!$B$3:$D$13,2,0)</f>
        <v>HDPE Bottle Cap Flakes</v>
      </c>
      <c r="I99" s="4">
        <v>1880</v>
      </c>
      <c r="J99" s="4" t="s">
        <v>9</v>
      </c>
      <c r="K99" s="16">
        <f>VLOOKUP(G99,'Master Kode'!$B$3:$D$13,3,0)</f>
        <v>10500</v>
      </c>
      <c r="L99" s="16">
        <f t="shared" si="5"/>
        <v>19740000</v>
      </c>
    </row>
    <row r="100" spans="2:12">
      <c r="B100" s="4" t="s">
        <v>769</v>
      </c>
      <c r="C100" s="3">
        <f t="shared" si="4"/>
        <v>45774</v>
      </c>
      <c r="D100" s="4" t="s">
        <v>512</v>
      </c>
      <c r="E100" s="1" t="s">
        <v>136</v>
      </c>
      <c r="F100" s="5" t="s">
        <v>19</v>
      </c>
      <c r="G100" s="4" t="s">
        <v>14</v>
      </c>
      <c r="H100" s="5" t="str">
        <f>VLOOKUP(G100,'Master Kode'!$B$3:$D$13,2,0)</f>
        <v>HDPE Natural Flakes</v>
      </c>
      <c r="I100" s="4">
        <v>2540</v>
      </c>
      <c r="J100" s="4" t="s">
        <v>9</v>
      </c>
      <c r="K100" s="16">
        <f>VLOOKUP(G100,'Master Kode'!$B$3:$D$13,3,0)</f>
        <v>13500</v>
      </c>
      <c r="L100" s="16">
        <f t="shared" si="5"/>
        <v>34290000</v>
      </c>
    </row>
    <row r="101" spans="2:12">
      <c r="B101" s="4" t="s">
        <v>770</v>
      </c>
      <c r="C101" s="3">
        <f t="shared" si="4"/>
        <v>45775</v>
      </c>
      <c r="D101" s="4" t="s">
        <v>513</v>
      </c>
      <c r="E101" s="1" t="s">
        <v>137</v>
      </c>
      <c r="F101" s="5" t="s">
        <v>10</v>
      </c>
      <c r="G101" s="4" t="s">
        <v>34</v>
      </c>
      <c r="H101" s="5" t="str">
        <f>VLOOKUP(G101,'Master Kode'!$B$3:$D$13,2,0)</f>
        <v>PET Hot Washed Flakes</v>
      </c>
      <c r="I101" s="4">
        <v>3360</v>
      </c>
      <c r="J101" s="4" t="s">
        <v>9</v>
      </c>
      <c r="K101" s="16">
        <f>VLOOKUP(G101,'Master Kode'!$B$3:$D$13,3,0)</f>
        <v>14500</v>
      </c>
      <c r="L101" s="16">
        <f t="shared" si="5"/>
        <v>48720000</v>
      </c>
    </row>
    <row r="102" spans="2:12">
      <c r="B102" s="4" t="s">
        <v>771</v>
      </c>
      <c r="C102" s="3">
        <f t="shared" si="4"/>
        <v>45777</v>
      </c>
      <c r="D102" s="4" t="s">
        <v>514</v>
      </c>
      <c r="E102" s="1" t="s">
        <v>138</v>
      </c>
      <c r="F102" s="5" t="s">
        <v>6</v>
      </c>
      <c r="G102" s="4" t="s">
        <v>17</v>
      </c>
      <c r="H102" s="5" t="str">
        <f>VLOOKUP(G102,'Master Kode'!$B$3:$D$13,2,0)</f>
        <v>HDPE Mixed Color Flakes</v>
      </c>
      <c r="I102" s="4">
        <v>2010</v>
      </c>
      <c r="J102" s="4" t="s">
        <v>9</v>
      </c>
      <c r="K102" s="16">
        <f>VLOOKUP(G102,'Master Kode'!$B$3:$D$13,3,0)</f>
        <v>9500</v>
      </c>
      <c r="L102" s="16">
        <f t="shared" si="5"/>
        <v>19095000</v>
      </c>
    </row>
    <row r="103" spans="2:12">
      <c r="B103" s="4" t="s">
        <v>772</v>
      </c>
      <c r="C103" s="3">
        <f t="shared" si="4"/>
        <v>45777</v>
      </c>
      <c r="D103" s="4" t="s">
        <v>515</v>
      </c>
      <c r="E103" s="1" t="s">
        <v>139</v>
      </c>
      <c r="F103" s="5" t="s">
        <v>13</v>
      </c>
      <c r="G103" s="4" t="s">
        <v>20</v>
      </c>
      <c r="H103" s="5" t="str">
        <f>VLOOKUP(G103,'Master Kode'!$B$3:$D$13,2,0)</f>
        <v>PP Injection Flakes</v>
      </c>
      <c r="I103" s="4">
        <v>2675</v>
      </c>
      <c r="J103" s="4" t="s">
        <v>9</v>
      </c>
      <c r="K103" s="16">
        <f>VLOOKUP(G103,'Master Kode'!$B$3:$D$13,3,0)</f>
        <v>11000</v>
      </c>
      <c r="L103" s="16">
        <f t="shared" si="5"/>
        <v>29425000</v>
      </c>
    </row>
    <row r="104" spans="2:12">
      <c r="B104" s="4" t="s">
        <v>461</v>
      </c>
      <c r="C104" s="3">
        <f t="shared" si="4"/>
        <v>45778</v>
      </c>
      <c r="D104" s="4" t="s">
        <v>403</v>
      </c>
      <c r="E104" s="1" t="s">
        <v>140</v>
      </c>
      <c r="F104" s="5" t="s">
        <v>22</v>
      </c>
      <c r="G104" s="4" t="s">
        <v>28</v>
      </c>
      <c r="H104" s="5" t="str">
        <f>VLOOKUP(G104,'Master Kode'!$B$3:$D$13,2,0)</f>
        <v>PET Mixed Color Flakes</v>
      </c>
      <c r="I104" s="4">
        <v>2230</v>
      </c>
      <c r="J104" s="4" t="s">
        <v>9</v>
      </c>
      <c r="K104" s="16">
        <f>VLOOKUP(G104,'Master Kode'!$B$3:$D$13,3,0)</f>
        <v>8500</v>
      </c>
      <c r="L104" s="16">
        <f t="shared" si="5"/>
        <v>18955000</v>
      </c>
    </row>
    <row r="105" spans="2:12">
      <c r="B105" s="4" t="s">
        <v>773</v>
      </c>
      <c r="C105" s="3">
        <f t="shared" si="4"/>
        <v>45781</v>
      </c>
      <c r="D105" s="4" t="s">
        <v>516</v>
      </c>
      <c r="E105" s="1" t="s">
        <v>141</v>
      </c>
      <c r="F105" s="5" t="s">
        <v>6</v>
      </c>
      <c r="G105" s="4" t="s">
        <v>7</v>
      </c>
      <c r="H105" s="5" t="str">
        <f>VLOOKUP(G105,'Master Kode'!$B$3:$D$13,2,0)</f>
        <v>PET Clear Flakes</v>
      </c>
      <c r="I105" s="4">
        <v>1820</v>
      </c>
      <c r="J105" s="4" t="s">
        <v>9</v>
      </c>
      <c r="K105" s="16">
        <f>VLOOKUP(G105,'Master Kode'!$B$3:$D$13,3,0)</f>
        <v>12500</v>
      </c>
      <c r="L105" s="16">
        <f t="shared" si="5"/>
        <v>22750000</v>
      </c>
    </row>
    <row r="106" spans="2:12">
      <c r="B106" s="4" t="s">
        <v>774</v>
      </c>
      <c r="C106" s="3">
        <f t="shared" si="4"/>
        <v>45781</v>
      </c>
      <c r="D106" s="4" t="s">
        <v>517</v>
      </c>
      <c r="E106" s="1" t="s">
        <v>142</v>
      </c>
      <c r="F106" s="5" t="s">
        <v>10</v>
      </c>
      <c r="G106" s="4" t="s">
        <v>14</v>
      </c>
      <c r="H106" s="5" t="str">
        <f>VLOOKUP(G106,'Master Kode'!$B$3:$D$13,2,0)</f>
        <v>HDPE Natural Flakes</v>
      </c>
      <c r="I106" s="4">
        <v>2560</v>
      </c>
      <c r="J106" s="4" t="s">
        <v>9</v>
      </c>
      <c r="K106" s="16">
        <f>VLOOKUP(G106,'Master Kode'!$B$3:$D$13,3,0)</f>
        <v>13500</v>
      </c>
      <c r="L106" s="16">
        <f t="shared" si="5"/>
        <v>34560000</v>
      </c>
    </row>
    <row r="107" spans="2:12">
      <c r="B107" s="4" t="s">
        <v>775</v>
      </c>
      <c r="C107" s="3">
        <f t="shared" si="4"/>
        <v>45782</v>
      </c>
      <c r="D107" s="4" t="s">
        <v>518</v>
      </c>
      <c r="E107" s="1" t="s">
        <v>143</v>
      </c>
      <c r="F107" s="5" t="s">
        <v>13</v>
      </c>
      <c r="G107" s="4" t="s">
        <v>11</v>
      </c>
      <c r="H107" s="5" t="str">
        <f>VLOOKUP(G107,'Master Kode'!$B$3:$D$13,2,0)</f>
        <v>PET Blue Flakes</v>
      </c>
      <c r="I107" s="4">
        <v>3100</v>
      </c>
      <c r="J107" s="4" t="s">
        <v>9</v>
      </c>
      <c r="K107" s="16">
        <f>VLOOKUP(G107,'Master Kode'!$B$3:$D$13,3,0)</f>
        <v>10000</v>
      </c>
      <c r="L107" s="16">
        <f t="shared" si="5"/>
        <v>31000000</v>
      </c>
    </row>
    <row r="108" spans="2:12">
      <c r="B108" s="4" t="s">
        <v>776</v>
      </c>
      <c r="C108" s="3">
        <f t="shared" si="4"/>
        <v>45783</v>
      </c>
      <c r="D108" s="4" t="s">
        <v>519</v>
      </c>
      <c r="E108" s="1" t="s">
        <v>144</v>
      </c>
      <c r="F108" s="5" t="s">
        <v>16</v>
      </c>
      <c r="G108" s="4" t="s">
        <v>17</v>
      </c>
      <c r="H108" s="5" t="str">
        <f>VLOOKUP(G108,'Master Kode'!$B$3:$D$13,2,0)</f>
        <v>HDPE Mixed Color Flakes</v>
      </c>
      <c r="I108" s="4">
        <v>1450</v>
      </c>
      <c r="J108" s="4" t="s">
        <v>9</v>
      </c>
      <c r="K108" s="16">
        <f>VLOOKUP(G108,'Master Kode'!$B$3:$D$13,3,0)</f>
        <v>9500</v>
      </c>
      <c r="L108" s="16">
        <f t="shared" si="5"/>
        <v>13775000</v>
      </c>
    </row>
    <row r="109" spans="2:12">
      <c r="B109" s="4" t="s">
        <v>777</v>
      </c>
      <c r="C109" s="3">
        <f t="shared" si="4"/>
        <v>45784</v>
      </c>
      <c r="D109" s="4" t="s">
        <v>520</v>
      </c>
      <c r="E109" s="1" t="s">
        <v>145</v>
      </c>
      <c r="F109" s="5" t="s">
        <v>19</v>
      </c>
      <c r="G109" s="4" t="s">
        <v>23</v>
      </c>
      <c r="H109" s="5" t="str">
        <f>VLOOKUP(G109,'Master Kode'!$B$3:$D$13,2,0)</f>
        <v>PET Green Flakes</v>
      </c>
      <c r="I109" s="4">
        <v>2280</v>
      </c>
      <c r="J109" s="4" t="s">
        <v>9</v>
      </c>
      <c r="K109" s="16">
        <f>VLOOKUP(G109,'Master Kode'!$B$3:$D$13,3,0)</f>
        <v>9000</v>
      </c>
      <c r="L109" s="16">
        <f t="shared" si="5"/>
        <v>20520000</v>
      </c>
    </row>
    <row r="110" spans="2:12">
      <c r="B110" s="4" t="s">
        <v>778</v>
      </c>
      <c r="C110" s="3">
        <f t="shared" si="4"/>
        <v>45784</v>
      </c>
      <c r="D110" s="4" t="s">
        <v>521</v>
      </c>
      <c r="E110" s="1" t="s">
        <v>146</v>
      </c>
      <c r="F110" s="5" t="s">
        <v>22</v>
      </c>
      <c r="G110" s="4" t="s">
        <v>20</v>
      </c>
      <c r="H110" s="5" t="str">
        <f>VLOOKUP(G110,'Master Kode'!$B$3:$D$13,2,0)</f>
        <v>PP Injection Flakes</v>
      </c>
      <c r="I110" s="4">
        <v>2750</v>
      </c>
      <c r="J110" s="4" t="s">
        <v>9</v>
      </c>
      <c r="K110" s="16">
        <f>VLOOKUP(G110,'Master Kode'!$B$3:$D$13,3,0)</f>
        <v>11000</v>
      </c>
      <c r="L110" s="16">
        <f t="shared" si="5"/>
        <v>30250000</v>
      </c>
    </row>
    <row r="111" spans="2:12">
      <c r="B111" s="4" t="s">
        <v>779</v>
      </c>
      <c r="C111" s="3">
        <f t="shared" si="4"/>
        <v>45785</v>
      </c>
      <c r="D111" s="4" t="s">
        <v>522</v>
      </c>
      <c r="E111" s="1" t="s">
        <v>147</v>
      </c>
      <c r="F111" s="5" t="s">
        <v>25</v>
      </c>
      <c r="G111" s="4" t="s">
        <v>26</v>
      </c>
      <c r="H111" s="5" t="str">
        <f>VLOOKUP(G111,'Master Kode'!$B$3:$D$13,2,0)</f>
        <v>HDPE Blue Drum Flakes</v>
      </c>
      <c r="I111" s="4">
        <v>1640</v>
      </c>
      <c r="J111" s="4" t="s">
        <v>9</v>
      </c>
      <c r="K111" s="16">
        <f>VLOOKUP(G111,'Master Kode'!$B$3:$D$13,3,0)</f>
        <v>11500</v>
      </c>
      <c r="L111" s="16">
        <f t="shared" si="5"/>
        <v>18860000</v>
      </c>
    </row>
    <row r="112" spans="2:12">
      <c r="B112" s="4" t="s">
        <v>780</v>
      </c>
      <c r="C112" s="3">
        <f t="shared" si="4"/>
        <v>45786</v>
      </c>
      <c r="D112" s="4" t="s">
        <v>523</v>
      </c>
      <c r="E112" s="1" t="s">
        <v>148</v>
      </c>
      <c r="F112" s="5" t="s">
        <v>6</v>
      </c>
      <c r="G112" s="4" t="s">
        <v>28</v>
      </c>
      <c r="H112" s="5" t="str">
        <f>VLOOKUP(G112,'Master Kode'!$B$3:$D$13,2,0)</f>
        <v>PET Mixed Color Flakes</v>
      </c>
      <c r="I112" s="4">
        <v>3050</v>
      </c>
      <c r="J112" s="4" t="s">
        <v>9</v>
      </c>
      <c r="K112" s="16">
        <f>VLOOKUP(G112,'Master Kode'!$B$3:$D$13,3,0)</f>
        <v>8500</v>
      </c>
      <c r="L112" s="16">
        <f t="shared" si="5"/>
        <v>25925000</v>
      </c>
    </row>
    <row r="113" spans="2:12">
      <c r="B113" s="4" t="s">
        <v>781</v>
      </c>
      <c r="C113" s="3">
        <f t="shared" si="4"/>
        <v>45787</v>
      </c>
      <c r="D113" s="4" t="s">
        <v>524</v>
      </c>
      <c r="E113" s="1" t="s">
        <v>149</v>
      </c>
      <c r="F113" s="5" t="s">
        <v>10</v>
      </c>
      <c r="G113" s="4" t="s">
        <v>34</v>
      </c>
      <c r="H113" s="5" t="str">
        <f>VLOOKUP(G113,'Master Kode'!$B$3:$D$13,2,0)</f>
        <v>PET Hot Washed Flakes</v>
      </c>
      <c r="I113" s="4">
        <v>1980</v>
      </c>
      <c r="J113" s="4" t="s">
        <v>9</v>
      </c>
      <c r="K113" s="16">
        <f>VLOOKUP(G113,'Master Kode'!$B$3:$D$13,3,0)</f>
        <v>14500</v>
      </c>
      <c r="L113" s="16">
        <f t="shared" si="5"/>
        <v>28710000</v>
      </c>
    </row>
    <row r="114" spans="2:12">
      <c r="B114" s="4" t="s">
        <v>782</v>
      </c>
      <c r="C114" s="3">
        <f t="shared" si="4"/>
        <v>45788</v>
      </c>
      <c r="D114" s="4" t="s">
        <v>525</v>
      </c>
      <c r="E114" s="1" t="s">
        <v>150</v>
      </c>
      <c r="F114" s="5" t="s">
        <v>13</v>
      </c>
      <c r="G114" s="4" t="s">
        <v>32</v>
      </c>
      <c r="H114" s="5" t="str">
        <f>VLOOKUP(G114,'Master Kode'!$B$3:$D$13,2,0)</f>
        <v>HDPE Bottle Cap Flakes</v>
      </c>
      <c r="I114" s="4">
        <v>2120</v>
      </c>
      <c r="J114" s="4" t="s">
        <v>9</v>
      </c>
      <c r="K114" s="16">
        <f>VLOOKUP(G114,'Master Kode'!$B$3:$D$13,3,0)</f>
        <v>10500</v>
      </c>
      <c r="L114" s="16">
        <f t="shared" si="5"/>
        <v>22260000</v>
      </c>
    </row>
    <row r="115" spans="2:12">
      <c r="B115" s="4" t="s">
        <v>783</v>
      </c>
      <c r="C115" s="3">
        <f t="shared" si="4"/>
        <v>45789</v>
      </c>
      <c r="D115" s="4" t="s">
        <v>526</v>
      </c>
      <c r="E115" s="1" t="s">
        <v>151</v>
      </c>
      <c r="F115" s="5" t="s">
        <v>16</v>
      </c>
      <c r="G115" s="4" t="s">
        <v>11</v>
      </c>
      <c r="H115" s="5" t="str">
        <f>VLOOKUP(G115,'Master Kode'!$B$3:$D$13,2,0)</f>
        <v>PET Blue Flakes</v>
      </c>
      <c r="I115" s="4">
        <v>3340</v>
      </c>
      <c r="J115" s="4" t="s">
        <v>9</v>
      </c>
      <c r="K115" s="16">
        <f>VLOOKUP(G115,'Master Kode'!$B$3:$D$13,3,0)</f>
        <v>10000</v>
      </c>
      <c r="L115" s="16">
        <f t="shared" si="5"/>
        <v>33400000</v>
      </c>
    </row>
    <row r="116" spans="2:12">
      <c r="B116" s="4" t="s">
        <v>784</v>
      </c>
      <c r="C116" s="3">
        <f t="shared" si="4"/>
        <v>45790</v>
      </c>
      <c r="D116" s="4" t="s">
        <v>527</v>
      </c>
      <c r="E116" s="1" t="s">
        <v>152</v>
      </c>
      <c r="F116" s="5" t="s">
        <v>19</v>
      </c>
      <c r="G116" s="4" t="s">
        <v>7</v>
      </c>
      <c r="H116" s="5" t="str">
        <f>VLOOKUP(G116,'Master Kode'!$B$3:$D$13,2,0)</f>
        <v>PET Clear Flakes</v>
      </c>
      <c r="I116" s="4">
        <v>2890</v>
      </c>
      <c r="J116" s="4" t="s">
        <v>9</v>
      </c>
      <c r="K116" s="16">
        <f>VLOOKUP(G116,'Master Kode'!$B$3:$D$13,3,0)</f>
        <v>12500</v>
      </c>
      <c r="L116" s="16">
        <f t="shared" si="5"/>
        <v>36125000</v>
      </c>
    </row>
    <row r="117" spans="2:12">
      <c r="B117" s="4" t="s">
        <v>785</v>
      </c>
      <c r="C117" s="3">
        <f t="shared" si="4"/>
        <v>45791</v>
      </c>
      <c r="D117" s="4" t="s">
        <v>528</v>
      </c>
      <c r="E117" s="1" t="s">
        <v>153</v>
      </c>
      <c r="F117" s="5" t="s">
        <v>22</v>
      </c>
      <c r="G117" s="4" t="s">
        <v>14</v>
      </c>
      <c r="H117" s="5" t="str">
        <f>VLOOKUP(G117,'Master Kode'!$B$3:$D$13,2,0)</f>
        <v>HDPE Natural Flakes</v>
      </c>
      <c r="I117" s="4">
        <v>1570</v>
      </c>
      <c r="J117" s="4" t="s">
        <v>9</v>
      </c>
      <c r="K117" s="16">
        <f>VLOOKUP(G117,'Master Kode'!$B$3:$D$13,3,0)</f>
        <v>13500</v>
      </c>
      <c r="L117" s="16">
        <f t="shared" si="5"/>
        <v>21195000</v>
      </c>
    </row>
    <row r="118" spans="2:12">
      <c r="B118" s="4" t="s">
        <v>786</v>
      </c>
      <c r="C118" s="3">
        <f t="shared" si="4"/>
        <v>45792</v>
      </c>
      <c r="D118" s="4" t="s">
        <v>529</v>
      </c>
      <c r="E118" s="1" t="s">
        <v>154</v>
      </c>
      <c r="F118" s="5" t="s">
        <v>25</v>
      </c>
      <c r="G118" s="4" t="s">
        <v>17</v>
      </c>
      <c r="H118" s="5" t="str">
        <f>VLOOKUP(G118,'Master Kode'!$B$3:$D$13,2,0)</f>
        <v>HDPE Mixed Color Flakes</v>
      </c>
      <c r="I118" s="4">
        <v>2210</v>
      </c>
      <c r="J118" s="4" t="s">
        <v>9</v>
      </c>
      <c r="K118" s="16">
        <f>VLOOKUP(G118,'Master Kode'!$B$3:$D$13,3,0)</f>
        <v>9500</v>
      </c>
      <c r="L118" s="16">
        <f t="shared" si="5"/>
        <v>20995000</v>
      </c>
    </row>
    <row r="119" spans="2:12">
      <c r="B119" s="4" t="s">
        <v>787</v>
      </c>
      <c r="C119" s="3">
        <f t="shared" si="4"/>
        <v>45793</v>
      </c>
      <c r="D119" s="4" t="s">
        <v>530</v>
      </c>
      <c r="E119" s="1" t="s">
        <v>155</v>
      </c>
      <c r="F119" s="5" t="s">
        <v>6</v>
      </c>
      <c r="G119" s="4" t="s">
        <v>20</v>
      </c>
      <c r="H119" s="5" t="str">
        <f>VLOOKUP(G119,'Master Kode'!$B$3:$D$13,2,0)</f>
        <v>PP Injection Flakes</v>
      </c>
      <c r="I119" s="4">
        <v>3400</v>
      </c>
      <c r="J119" s="4" t="s">
        <v>9</v>
      </c>
      <c r="K119" s="16">
        <f>VLOOKUP(G119,'Master Kode'!$B$3:$D$13,3,0)</f>
        <v>11000</v>
      </c>
      <c r="L119" s="16">
        <f t="shared" si="5"/>
        <v>37400000</v>
      </c>
    </row>
    <row r="120" spans="2:12">
      <c r="B120" s="4" t="s">
        <v>788</v>
      </c>
      <c r="C120" s="3">
        <f t="shared" si="4"/>
        <v>45794</v>
      </c>
      <c r="D120" s="4" t="s">
        <v>531</v>
      </c>
      <c r="E120" s="1" t="s">
        <v>156</v>
      </c>
      <c r="F120" s="5" t="s">
        <v>10</v>
      </c>
      <c r="G120" s="4" t="s">
        <v>23</v>
      </c>
      <c r="H120" s="5" t="str">
        <f>VLOOKUP(G120,'Master Kode'!$B$3:$D$13,2,0)</f>
        <v>PET Green Flakes</v>
      </c>
      <c r="I120" s="4">
        <v>2755</v>
      </c>
      <c r="J120" s="4" t="s">
        <v>9</v>
      </c>
      <c r="K120" s="16">
        <f>VLOOKUP(G120,'Master Kode'!$B$3:$D$13,3,0)</f>
        <v>9000</v>
      </c>
      <c r="L120" s="16">
        <f t="shared" si="5"/>
        <v>24795000</v>
      </c>
    </row>
    <row r="121" spans="2:12">
      <c r="B121" s="4" t="s">
        <v>789</v>
      </c>
      <c r="C121" s="3">
        <f t="shared" si="4"/>
        <v>45795</v>
      </c>
      <c r="D121" s="4" t="s">
        <v>532</v>
      </c>
      <c r="E121" s="1" t="s">
        <v>157</v>
      </c>
      <c r="F121" s="5" t="s">
        <v>13</v>
      </c>
      <c r="G121" s="4" t="s">
        <v>34</v>
      </c>
      <c r="H121" s="5" t="str">
        <f>VLOOKUP(G121,'Master Kode'!$B$3:$D$13,2,0)</f>
        <v>PET Hot Washed Flakes</v>
      </c>
      <c r="I121" s="4">
        <v>1985</v>
      </c>
      <c r="J121" s="4" t="s">
        <v>9</v>
      </c>
      <c r="K121" s="16">
        <f>VLOOKUP(G121,'Master Kode'!$B$3:$D$13,3,0)</f>
        <v>14500</v>
      </c>
      <c r="L121" s="16">
        <f t="shared" si="5"/>
        <v>28782500</v>
      </c>
    </row>
    <row r="122" spans="2:12">
      <c r="B122" s="4" t="s">
        <v>790</v>
      </c>
      <c r="C122" s="3">
        <f t="shared" si="4"/>
        <v>45796</v>
      </c>
      <c r="D122" s="4" t="s">
        <v>533</v>
      </c>
      <c r="E122" s="1" t="s">
        <v>158</v>
      </c>
      <c r="F122" s="5" t="s">
        <v>16</v>
      </c>
      <c r="G122" s="4" t="s">
        <v>26</v>
      </c>
      <c r="H122" s="5" t="str">
        <f>VLOOKUP(G122,'Master Kode'!$B$3:$D$13,2,0)</f>
        <v>HDPE Blue Drum Flakes</v>
      </c>
      <c r="I122" s="4">
        <v>2440</v>
      </c>
      <c r="J122" s="4" t="s">
        <v>9</v>
      </c>
      <c r="K122" s="16">
        <f>VLOOKUP(G122,'Master Kode'!$B$3:$D$13,3,0)</f>
        <v>11500</v>
      </c>
      <c r="L122" s="16">
        <f t="shared" si="5"/>
        <v>28060000</v>
      </c>
    </row>
    <row r="123" spans="2:12">
      <c r="B123" s="4" t="s">
        <v>791</v>
      </c>
      <c r="C123" s="3">
        <f t="shared" si="4"/>
        <v>45797</v>
      </c>
      <c r="D123" s="4" t="s">
        <v>534</v>
      </c>
      <c r="E123" s="1" t="s">
        <v>159</v>
      </c>
      <c r="F123" s="5" t="s">
        <v>19</v>
      </c>
      <c r="G123" s="4" t="s">
        <v>11</v>
      </c>
      <c r="H123" s="5" t="str">
        <f>VLOOKUP(G123,'Master Kode'!$B$3:$D$13,2,0)</f>
        <v>PET Blue Flakes</v>
      </c>
      <c r="I123" s="4">
        <v>3110</v>
      </c>
      <c r="J123" s="4" t="s">
        <v>9</v>
      </c>
      <c r="K123" s="16">
        <f>VLOOKUP(G123,'Master Kode'!$B$3:$D$13,3,0)</f>
        <v>10000</v>
      </c>
      <c r="L123" s="16">
        <f t="shared" si="5"/>
        <v>31100000</v>
      </c>
    </row>
    <row r="124" spans="2:12">
      <c r="B124" s="4" t="s">
        <v>792</v>
      </c>
      <c r="C124" s="3">
        <f t="shared" si="4"/>
        <v>45798</v>
      </c>
      <c r="D124" s="4" t="s">
        <v>535</v>
      </c>
      <c r="E124" s="1" t="s">
        <v>160</v>
      </c>
      <c r="F124" s="5" t="s">
        <v>22</v>
      </c>
      <c r="G124" s="4" t="s">
        <v>7</v>
      </c>
      <c r="H124" s="5" t="str">
        <f>VLOOKUP(G124,'Master Kode'!$B$3:$D$13,2,0)</f>
        <v>PET Clear Flakes</v>
      </c>
      <c r="I124" s="4">
        <v>2680</v>
      </c>
      <c r="J124" s="4" t="s">
        <v>9</v>
      </c>
      <c r="K124" s="16">
        <f>VLOOKUP(G124,'Master Kode'!$B$3:$D$13,3,0)</f>
        <v>12500</v>
      </c>
      <c r="L124" s="16">
        <f t="shared" si="5"/>
        <v>33500000</v>
      </c>
    </row>
    <row r="125" spans="2:12">
      <c r="B125" s="4" t="s">
        <v>793</v>
      </c>
      <c r="C125" s="3">
        <f t="shared" si="4"/>
        <v>45799</v>
      </c>
      <c r="D125" s="4" t="s">
        <v>536</v>
      </c>
      <c r="E125" s="1" t="s">
        <v>161</v>
      </c>
      <c r="F125" s="5" t="s">
        <v>25</v>
      </c>
      <c r="G125" s="4" t="s">
        <v>28</v>
      </c>
      <c r="H125" s="5" t="str">
        <f>VLOOKUP(G125,'Master Kode'!$B$3:$D$13,2,0)</f>
        <v>PET Mixed Color Flakes</v>
      </c>
      <c r="I125" s="4">
        <v>1870</v>
      </c>
      <c r="J125" s="4" t="s">
        <v>9</v>
      </c>
      <c r="K125" s="16">
        <f>VLOOKUP(G125,'Master Kode'!$B$3:$D$13,3,0)</f>
        <v>8500</v>
      </c>
      <c r="L125" s="16">
        <f t="shared" si="5"/>
        <v>15895000</v>
      </c>
    </row>
    <row r="126" spans="2:12">
      <c r="B126" s="4" t="s">
        <v>794</v>
      </c>
      <c r="C126" s="3">
        <f t="shared" si="4"/>
        <v>45800</v>
      </c>
      <c r="D126" s="4" t="s">
        <v>537</v>
      </c>
      <c r="E126" s="1" t="s">
        <v>162</v>
      </c>
      <c r="F126" s="5" t="s">
        <v>6</v>
      </c>
      <c r="G126" s="4" t="s">
        <v>14</v>
      </c>
      <c r="H126" s="5" t="str">
        <f>VLOOKUP(G126,'Master Kode'!$B$3:$D$13,2,0)</f>
        <v>HDPE Natural Flakes</v>
      </c>
      <c r="I126" s="4">
        <v>2330</v>
      </c>
      <c r="J126" s="4" t="s">
        <v>9</v>
      </c>
      <c r="K126" s="16">
        <f>VLOOKUP(G126,'Master Kode'!$B$3:$D$13,3,0)</f>
        <v>13500</v>
      </c>
      <c r="L126" s="16">
        <f t="shared" si="5"/>
        <v>31455000</v>
      </c>
    </row>
    <row r="127" spans="2:12">
      <c r="B127" s="4" t="s">
        <v>795</v>
      </c>
      <c r="C127" s="3">
        <f t="shared" si="4"/>
        <v>45801</v>
      </c>
      <c r="D127" s="4" t="s">
        <v>538</v>
      </c>
      <c r="E127" s="1" t="s">
        <v>163</v>
      </c>
      <c r="F127" s="5" t="s">
        <v>10</v>
      </c>
      <c r="G127" s="4" t="s">
        <v>32</v>
      </c>
      <c r="H127" s="5" t="str">
        <f>VLOOKUP(G127,'Master Kode'!$B$3:$D$13,2,0)</f>
        <v>HDPE Bottle Cap Flakes</v>
      </c>
      <c r="I127" s="4">
        <v>1765</v>
      </c>
      <c r="J127" s="4" t="s">
        <v>9</v>
      </c>
      <c r="K127" s="16">
        <f>VLOOKUP(G127,'Master Kode'!$B$3:$D$13,3,0)</f>
        <v>10500</v>
      </c>
      <c r="L127" s="16">
        <f t="shared" si="5"/>
        <v>18532500</v>
      </c>
    </row>
    <row r="128" spans="2:12">
      <c r="B128" s="4" t="s">
        <v>796</v>
      </c>
      <c r="C128" s="3">
        <f t="shared" si="4"/>
        <v>45802</v>
      </c>
      <c r="D128" s="4" t="s">
        <v>539</v>
      </c>
      <c r="E128" s="1" t="s">
        <v>164</v>
      </c>
      <c r="F128" s="5" t="s">
        <v>13</v>
      </c>
      <c r="G128" s="4" t="s">
        <v>20</v>
      </c>
      <c r="H128" s="5" t="str">
        <f>VLOOKUP(G128,'Master Kode'!$B$3:$D$13,2,0)</f>
        <v>PP Injection Flakes</v>
      </c>
      <c r="I128" s="4">
        <v>2950</v>
      </c>
      <c r="J128" s="4" t="s">
        <v>9</v>
      </c>
      <c r="K128" s="16">
        <f>VLOOKUP(G128,'Master Kode'!$B$3:$D$13,3,0)</f>
        <v>11000</v>
      </c>
      <c r="L128" s="16">
        <f t="shared" si="5"/>
        <v>32450000</v>
      </c>
    </row>
    <row r="129" spans="2:12">
      <c r="B129" s="4" t="s">
        <v>797</v>
      </c>
      <c r="C129" s="3">
        <f t="shared" si="4"/>
        <v>45803</v>
      </c>
      <c r="D129" s="4" t="s">
        <v>540</v>
      </c>
      <c r="E129" s="1" t="s">
        <v>165</v>
      </c>
      <c r="F129" s="5" t="s">
        <v>16</v>
      </c>
      <c r="G129" s="4" t="s">
        <v>23</v>
      </c>
      <c r="H129" s="5" t="str">
        <f>VLOOKUP(G129,'Master Kode'!$B$3:$D$13,2,0)</f>
        <v>PET Green Flakes</v>
      </c>
      <c r="I129" s="4">
        <v>3210</v>
      </c>
      <c r="J129" s="4" t="s">
        <v>9</v>
      </c>
      <c r="K129" s="16">
        <f>VLOOKUP(G129,'Master Kode'!$B$3:$D$13,3,0)</f>
        <v>9000</v>
      </c>
      <c r="L129" s="16">
        <f t="shared" si="5"/>
        <v>28890000</v>
      </c>
    </row>
    <row r="130" spans="2:12">
      <c r="B130" s="4" t="s">
        <v>798</v>
      </c>
      <c r="C130" s="3">
        <f t="shared" si="4"/>
        <v>45804</v>
      </c>
      <c r="D130" s="4" t="s">
        <v>541</v>
      </c>
      <c r="E130" s="1" t="s">
        <v>166</v>
      </c>
      <c r="F130" s="5" t="s">
        <v>19</v>
      </c>
      <c r="G130" s="4" t="s">
        <v>34</v>
      </c>
      <c r="H130" s="5" t="str">
        <f>VLOOKUP(G130,'Master Kode'!$B$3:$D$13,2,0)</f>
        <v>PET Hot Washed Flakes</v>
      </c>
      <c r="I130" s="4">
        <v>2080</v>
      </c>
      <c r="J130" s="4" t="s">
        <v>9</v>
      </c>
      <c r="K130" s="16">
        <f>VLOOKUP(G130,'Master Kode'!$B$3:$D$13,3,0)</f>
        <v>14500</v>
      </c>
      <c r="L130" s="16">
        <f t="shared" si="5"/>
        <v>30160000</v>
      </c>
    </row>
    <row r="131" spans="2:12">
      <c r="B131" s="4" t="s">
        <v>799</v>
      </c>
      <c r="C131" s="3">
        <f t="shared" si="4"/>
        <v>45805</v>
      </c>
      <c r="D131" s="4" t="s">
        <v>542</v>
      </c>
      <c r="E131" s="1" t="s">
        <v>167</v>
      </c>
      <c r="F131" s="5" t="s">
        <v>22</v>
      </c>
      <c r="G131" s="4" t="s">
        <v>17</v>
      </c>
      <c r="H131" s="5" t="str">
        <f>VLOOKUP(G131,'Master Kode'!$B$3:$D$13,2,0)</f>
        <v>HDPE Mixed Color Flakes</v>
      </c>
      <c r="I131" s="4">
        <v>2650</v>
      </c>
      <c r="J131" s="4" t="s">
        <v>9</v>
      </c>
      <c r="K131" s="16">
        <f>VLOOKUP(G131,'Master Kode'!$B$3:$D$13,3,0)</f>
        <v>9500</v>
      </c>
      <c r="L131" s="16">
        <f t="shared" si="5"/>
        <v>25175000</v>
      </c>
    </row>
    <row r="132" spans="2:12">
      <c r="B132" s="4" t="s">
        <v>800</v>
      </c>
      <c r="C132" s="3">
        <f t="shared" ref="C132:C195" si="6">DATE(2000+MID(B132,8,2),MID(B132,6,2),MID(B132,4,2))</f>
        <v>45811</v>
      </c>
      <c r="D132" s="4" t="s">
        <v>543</v>
      </c>
      <c r="E132" s="1" t="s">
        <v>168</v>
      </c>
      <c r="F132" s="5" t="s">
        <v>6</v>
      </c>
      <c r="G132" s="4" t="s">
        <v>7</v>
      </c>
      <c r="H132" s="5" t="str">
        <f>VLOOKUP(G132,'Master Kode'!$B$3:$D$13,2,0)</f>
        <v>PET Clear Flakes</v>
      </c>
      <c r="I132" s="4">
        <v>2150</v>
      </c>
      <c r="J132" s="4" t="s">
        <v>9</v>
      </c>
      <c r="K132" s="16">
        <f>VLOOKUP(G132,'Master Kode'!$B$3:$D$13,3,0)</f>
        <v>12500</v>
      </c>
      <c r="L132" s="16">
        <f t="shared" ref="L132:L195" si="7">K132*I132</f>
        <v>26875000</v>
      </c>
    </row>
    <row r="133" spans="2:12">
      <c r="B133" s="4" t="s">
        <v>801</v>
      </c>
      <c r="C133" s="3">
        <f t="shared" si="6"/>
        <v>45812</v>
      </c>
      <c r="D133" s="4" t="s">
        <v>544</v>
      </c>
      <c r="E133" s="1" t="s">
        <v>169</v>
      </c>
      <c r="F133" s="5" t="s">
        <v>10</v>
      </c>
      <c r="G133" s="4" t="s">
        <v>14</v>
      </c>
      <c r="H133" s="5" t="str">
        <f>VLOOKUP(G133,'Master Kode'!$B$3:$D$13,2,0)</f>
        <v>HDPE Natural Flakes</v>
      </c>
      <c r="I133" s="4">
        <v>1890</v>
      </c>
      <c r="J133" s="4" t="s">
        <v>9</v>
      </c>
      <c r="K133" s="16">
        <f>VLOOKUP(G133,'Master Kode'!$B$3:$D$13,3,0)</f>
        <v>13500</v>
      </c>
      <c r="L133" s="16">
        <f t="shared" si="7"/>
        <v>25515000</v>
      </c>
    </row>
    <row r="134" spans="2:12">
      <c r="B134" s="4" t="s">
        <v>802</v>
      </c>
      <c r="C134" s="3">
        <f t="shared" si="6"/>
        <v>45813</v>
      </c>
      <c r="D134" s="4" t="s">
        <v>545</v>
      </c>
      <c r="E134" s="1" t="s">
        <v>170</v>
      </c>
      <c r="F134" s="5" t="s">
        <v>13</v>
      </c>
      <c r="G134" s="4" t="s">
        <v>11</v>
      </c>
      <c r="H134" s="5" t="str">
        <f>VLOOKUP(G134,'Master Kode'!$B$3:$D$13,2,0)</f>
        <v>PET Blue Flakes</v>
      </c>
      <c r="I134" s="4">
        <v>2750</v>
      </c>
      <c r="J134" s="4" t="s">
        <v>9</v>
      </c>
      <c r="K134" s="16">
        <f>VLOOKUP(G134,'Master Kode'!$B$3:$D$13,3,0)</f>
        <v>10000</v>
      </c>
      <c r="L134" s="16">
        <f t="shared" si="7"/>
        <v>27500000</v>
      </c>
    </row>
    <row r="135" spans="2:12">
      <c r="B135" s="4" t="s">
        <v>803</v>
      </c>
      <c r="C135" s="3">
        <f t="shared" si="6"/>
        <v>45814</v>
      </c>
      <c r="D135" s="4" t="s">
        <v>546</v>
      </c>
      <c r="E135" s="1" t="s">
        <v>171</v>
      </c>
      <c r="F135" s="5" t="s">
        <v>16</v>
      </c>
      <c r="G135" s="4" t="s">
        <v>17</v>
      </c>
      <c r="H135" s="5" t="str">
        <f>VLOOKUP(G135,'Master Kode'!$B$3:$D$13,2,0)</f>
        <v>HDPE Mixed Color Flakes</v>
      </c>
      <c r="I135" s="4">
        <v>3025</v>
      </c>
      <c r="J135" s="4" t="s">
        <v>9</v>
      </c>
      <c r="K135" s="16">
        <f>VLOOKUP(G135,'Master Kode'!$B$3:$D$13,3,0)</f>
        <v>9500</v>
      </c>
      <c r="L135" s="16">
        <f t="shared" si="7"/>
        <v>28737500</v>
      </c>
    </row>
    <row r="136" spans="2:12">
      <c r="B136" s="4" t="s">
        <v>804</v>
      </c>
      <c r="C136" s="3">
        <f t="shared" si="6"/>
        <v>45815</v>
      </c>
      <c r="D136" s="4" t="s">
        <v>547</v>
      </c>
      <c r="E136" s="1" t="s">
        <v>172</v>
      </c>
      <c r="F136" s="5" t="s">
        <v>19</v>
      </c>
      <c r="G136" s="4" t="s">
        <v>20</v>
      </c>
      <c r="H136" s="5" t="str">
        <f>VLOOKUP(G136,'Master Kode'!$B$3:$D$13,2,0)</f>
        <v>PP Injection Flakes</v>
      </c>
      <c r="I136" s="4">
        <v>1540</v>
      </c>
      <c r="J136" s="4" t="s">
        <v>9</v>
      </c>
      <c r="K136" s="16">
        <f>VLOOKUP(G136,'Master Kode'!$B$3:$D$13,3,0)</f>
        <v>11000</v>
      </c>
      <c r="L136" s="16">
        <f t="shared" si="7"/>
        <v>16940000</v>
      </c>
    </row>
    <row r="137" spans="2:12">
      <c r="B137" s="4" t="s">
        <v>805</v>
      </c>
      <c r="C137" s="3">
        <f t="shared" si="6"/>
        <v>45816</v>
      </c>
      <c r="D137" s="4" t="s">
        <v>548</v>
      </c>
      <c r="E137" s="1" t="s">
        <v>173</v>
      </c>
      <c r="F137" s="5" t="s">
        <v>22</v>
      </c>
      <c r="G137" s="4" t="s">
        <v>23</v>
      </c>
      <c r="H137" s="5" t="str">
        <f>VLOOKUP(G137,'Master Kode'!$B$3:$D$13,2,0)</f>
        <v>PET Green Flakes</v>
      </c>
      <c r="I137" s="4">
        <v>3320</v>
      </c>
      <c r="J137" s="4" t="s">
        <v>9</v>
      </c>
      <c r="K137" s="16">
        <f>VLOOKUP(G137,'Master Kode'!$B$3:$D$13,3,0)</f>
        <v>9000</v>
      </c>
      <c r="L137" s="16">
        <f t="shared" si="7"/>
        <v>29880000</v>
      </c>
    </row>
    <row r="138" spans="2:12">
      <c r="B138" s="4" t="s">
        <v>806</v>
      </c>
      <c r="C138" s="3">
        <f t="shared" si="6"/>
        <v>45817</v>
      </c>
      <c r="D138" s="4" t="s">
        <v>549</v>
      </c>
      <c r="E138" s="1" t="s">
        <v>174</v>
      </c>
      <c r="F138" s="5" t="s">
        <v>25</v>
      </c>
      <c r="G138" s="4" t="s">
        <v>26</v>
      </c>
      <c r="H138" s="5" t="str">
        <f>VLOOKUP(G138,'Master Kode'!$B$3:$D$13,2,0)</f>
        <v>HDPE Blue Drum Flakes</v>
      </c>
      <c r="I138" s="4">
        <v>1780</v>
      </c>
      <c r="J138" s="4" t="s">
        <v>9</v>
      </c>
      <c r="K138" s="16">
        <f>VLOOKUP(G138,'Master Kode'!$B$3:$D$13,3,0)</f>
        <v>11500</v>
      </c>
      <c r="L138" s="16">
        <f t="shared" si="7"/>
        <v>20470000</v>
      </c>
    </row>
    <row r="139" spans="2:12">
      <c r="B139" s="4" t="s">
        <v>807</v>
      </c>
      <c r="C139" s="3">
        <f t="shared" si="6"/>
        <v>45818</v>
      </c>
      <c r="D139" s="4" t="s">
        <v>550</v>
      </c>
      <c r="E139" s="1" t="s">
        <v>175</v>
      </c>
      <c r="F139" s="5" t="s">
        <v>6</v>
      </c>
      <c r="G139" s="4" t="s">
        <v>28</v>
      </c>
      <c r="H139" s="5" t="str">
        <f>VLOOKUP(G139,'Master Kode'!$B$3:$D$13,2,0)</f>
        <v>PET Mixed Color Flakes</v>
      </c>
      <c r="I139" s="4">
        <v>2980</v>
      </c>
      <c r="J139" s="4" t="s">
        <v>9</v>
      </c>
      <c r="K139" s="16">
        <f>VLOOKUP(G139,'Master Kode'!$B$3:$D$13,3,0)</f>
        <v>8500</v>
      </c>
      <c r="L139" s="16">
        <f t="shared" si="7"/>
        <v>25330000</v>
      </c>
    </row>
    <row r="140" spans="2:12">
      <c r="B140" s="4" t="s">
        <v>808</v>
      </c>
      <c r="C140" s="3">
        <f t="shared" si="6"/>
        <v>45819</v>
      </c>
      <c r="D140" s="4" t="s">
        <v>551</v>
      </c>
      <c r="E140" s="1" t="s">
        <v>176</v>
      </c>
      <c r="F140" s="5" t="s">
        <v>10</v>
      </c>
      <c r="G140" s="4" t="s">
        <v>30</v>
      </c>
      <c r="H140" s="5" t="str">
        <f>VLOOKUP(G140,'Master Kode'!$B$3:$D$13,2,0)</f>
        <v>PP White Flakes</v>
      </c>
      <c r="I140" s="4">
        <v>2410</v>
      </c>
      <c r="J140" s="4" t="s">
        <v>9</v>
      </c>
      <c r="K140" s="16">
        <f>VLOOKUP(G140,'Master Kode'!$B$3:$D$13,3,0)</f>
        <v>12000</v>
      </c>
      <c r="L140" s="16">
        <f t="shared" si="7"/>
        <v>28920000</v>
      </c>
    </row>
    <row r="141" spans="2:12">
      <c r="B141" s="4" t="s">
        <v>809</v>
      </c>
      <c r="C141" s="3">
        <f t="shared" si="6"/>
        <v>45820</v>
      </c>
      <c r="D141" s="4" t="s">
        <v>552</v>
      </c>
      <c r="E141" s="1" t="s">
        <v>177</v>
      </c>
      <c r="F141" s="5" t="s">
        <v>13</v>
      </c>
      <c r="G141" s="4" t="s">
        <v>34</v>
      </c>
      <c r="H141" s="5" t="str">
        <f>VLOOKUP(G141,'Master Kode'!$B$3:$D$13,2,0)</f>
        <v>PET Hot Washed Flakes</v>
      </c>
      <c r="I141" s="4">
        <v>3650</v>
      </c>
      <c r="J141" s="4" t="s">
        <v>9</v>
      </c>
      <c r="K141" s="16">
        <f>VLOOKUP(G141,'Master Kode'!$B$3:$D$13,3,0)</f>
        <v>14500</v>
      </c>
      <c r="L141" s="16">
        <f t="shared" si="7"/>
        <v>52925000</v>
      </c>
    </row>
    <row r="142" spans="2:12">
      <c r="B142" s="4" t="s">
        <v>810</v>
      </c>
      <c r="C142" s="3">
        <f t="shared" si="6"/>
        <v>45821</v>
      </c>
      <c r="D142" s="4" t="s">
        <v>553</v>
      </c>
      <c r="E142" s="1" t="s">
        <v>178</v>
      </c>
      <c r="F142" s="5" t="s">
        <v>16</v>
      </c>
      <c r="G142" s="4" t="s">
        <v>7</v>
      </c>
      <c r="H142" s="5" t="str">
        <f>VLOOKUP(G142,'Master Kode'!$B$3:$D$13,2,0)</f>
        <v>PET Clear Flakes</v>
      </c>
      <c r="I142" s="4">
        <v>1875</v>
      </c>
      <c r="J142" s="4" t="s">
        <v>9</v>
      </c>
      <c r="K142" s="16">
        <f>VLOOKUP(G142,'Master Kode'!$B$3:$D$13,3,0)</f>
        <v>12500</v>
      </c>
      <c r="L142" s="16">
        <f t="shared" si="7"/>
        <v>23437500</v>
      </c>
    </row>
    <row r="143" spans="2:12">
      <c r="B143" s="4" t="s">
        <v>811</v>
      </c>
      <c r="C143" s="3">
        <f t="shared" si="6"/>
        <v>45822</v>
      </c>
      <c r="D143" s="4" t="s">
        <v>554</v>
      </c>
      <c r="E143" s="1" t="s">
        <v>179</v>
      </c>
      <c r="F143" s="5" t="s">
        <v>19</v>
      </c>
      <c r="G143" s="4" t="s">
        <v>14</v>
      </c>
      <c r="H143" s="5" t="str">
        <f>VLOOKUP(G143,'Master Kode'!$B$3:$D$13,2,0)</f>
        <v>HDPE Natural Flakes</v>
      </c>
      <c r="I143" s="4">
        <v>2100</v>
      </c>
      <c r="J143" s="4" t="s">
        <v>9</v>
      </c>
      <c r="K143" s="16">
        <f>VLOOKUP(G143,'Master Kode'!$B$3:$D$13,3,0)</f>
        <v>13500</v>
      </c>
      <c r="L143" s="16">
        <f t="shared" si="7"/>
        <v>28350000</v>
      </c>
    </row>
    <row r="144" spans="2:12">
      <c r="B144" s="4" t="s">
        <v>812</v>
      </c>
      <c r="C144" s="3">
        <f t="shared" si="6"/>
        <v>45823</v>
      </c>
      <c r="D144" s="4" t="s">
        <v>555</v>
      </c>
      <c r="E144" s="1" t="s">
        <v>180</v>
      </c>
      <c r="F144" s="5" t="s">
        <v>22</v>
      </c>
      <c r="G144" s="4" t="s">
        <v>17</v>
      </c>
      <c r="H144" s="5" t="str">
        <f>VLOOKUP(G144,'Master Kode'!$B$3:$D$13,2,0)</f>
        <v>HDPE Mixed Color Flakes</v>
      </c>
      <c r="I144" s="4">
        <v>2990</v>
      </c>
      <c r="J144" s="4" t="s">
        <v>9</v>
      </c>
      <c r="K144" s="16">
        <f>VLOOKUP(G144,'Master Kode'!$B$3:$D$13,3,0)</f>
        <v>9500</v>
      </c>
      <c r="L144" s="16">
        <f t="shared" si="7"/>
        <v>28405000</v>
      </c>
    </row>
    <row r="145" spans="2:12">
      <c r="B145" s="4" t="s">
        <v>813</v>
      </c>
      <c r="C145" s="3">
        <f t="shared" si="6"/>
        <v>45824</v>
      </c>
      <c r="D145" s="4" t="s">
        <v>556</v>
      </c>
      <c r="E145" s="1" t="s">
        <v>181</v>
      </c>
      <c r="F145" s="5" t="s">
        <v>25</v>
      </c>
      <c r="G145" s="4" t="s">
        <v>11</v>
      </c>
      <c r="H145" s="5" t="str">
        <f>VLOOKUP(G145,'Master Kode'!$B$3:$D$13,2,0)</f>
        <v>PET Blue Flakes</v>
      </c>
      <c r="I145" s="4">
        <v>2550</v>
      </c>
      <c r="J145" s="4" t="s">
        <v>9</v>
      </c>
      <c r="K145" s="16">
        <f>VLOOKUP(G145,'Master Kode'!$B$3:$D$13,3,0)</f>
        <v>10000</v>
      </c>
      <c r="L145" s="16">
        <f t="shared" si="7"/>
        <v>25500000</v>
      </c>
    </row>
    <row r="146" spans="2:12">
      <c r="B146" s="4" t="s">
        <v>814</v>
      </c>
      <c r="C146" s="3">
        <f t="shared" si="6"/>
        <v>45825</v>
      </c>
      <c r="D146" s="4" t="s">
        <v>557</v>
      </c>
      <c r="E146" s="1" t="s">
        <v>182</v>
      </c>
      <c r="F146" s="5" t="s">
        <v>6</v>
      </c>
      <c r="G146" s="4" t="s">
        <v>23</v>
      </c>
      <c r="H146" s="5" t="str">
        <f>VLOOKUP(G146,'Master Kode'!$B$3:$D$13,2,0)</f>
        <v>PET Green Flakes</v>
      </c>
      <c r="I146" s="4">
        <v>3210</v>
      </c>
      <c r="J146" s="4" t="s">
        <v>9</v>
      </c>
      <c r="K146" s="16">
        <f>VLOOKUP(G146,'Master Kode'!$B$3:$D$13,3,0)</f>
        <v>9000</v>
      </c>
      <c r="L146" s="16">
        <f t="shared" si="7"/>
        <v>28890000</v>
      </c>
    </row>
    <row r="147" spans="2:12">
      <c r="B147" s="4" t="s">
        <v>815</v>
      </c>
      <c r="C147" s="3">
        <f t="shared" si="6"/>
        <v>45826</v>
      </c>
      <c r="D147" s="4" t="s">
        <v>558</v>
      </c>
      <c r="E147" s="1" t="s">
        <v>183</v>
      </c>
      <c r="F147" s="5" t="s">
        <v>10</v>
      </c>
      <c r="G147" s="4" t="s">
        <v>20</v>
      </c>
      <c r="H147" s="5" t="str">
        <f>VLOOKUP(G147,'Master Kode'!$B$3:$D$13,2,0)</f>
        <v>PP Injection Flakes</v>
      </c>
      <c r="I147" s="4">
        <v>1980</v>
      </c>
      <c r="J147" s="4" t="s">
        <v>9</v>
      </c>
      <c r="K147" s="16">
        <f>VLOOKUP(G147,'Master Kode'!$B$3:$D$13,3,0)</f>
        <v>11000</v>
      </c>
      <c r="L147" s="16">
        <f t="shared" si="7"/>
        <v>21780000</v>
      </c>
    </row>
    <row r="148" spans="2:12">
      <c r="B148" s="4" t="s">
        <v>816</v>
      </c>
      <c r="C148" s="3">
        <f t="shared" si="6"/>
        <v>45827</v>
      </c>
      <c r="D148" s="4" t="s">
        <v>559</v>
      </c>
      <c r="E148" s="1" t="s">
        <v>184</v>
      </c>
      <c r="F148" s="5" t="s">
        <v>13</v>
      </c>
      <c r="G148" s="4" t="s">
        <v>26</v>
      </c>
      <c r="H148" s="5" t="str">
        <f>VLOOKUP(G148,'Master Kode'!$B$3:$D$13,2,0)</f>
        <v>HDPE Blue Drum Flakes</v>
      </c>
      <c r="I148" s="4">
        <v>1420</v>
      </c>
      <c r="J148" s="4" t="s">
        <v>9</v>
      </c>
      <c r="K148" s="16">
        <f>VLOOKUP(G148,'Master Kode'!$B$3:$D$13,3,0)</f>
        <v>11500</v>
      </c>
      <c r="L148" s="16">
        <f t="shared" si="7"/>
        <v>16330000</v>
      </c>
    </row>
    <row r="149" spans="2:12">
      <c r="B149" s="4" t="s">
        <v>817</v>
      </c>
      <c r="C149" s="3">
        <f t="shared" si="6"/>
        <v>45828</v>
      </c>
      <c r="D149" s="4" t="s">
        <v>560</v>
      </c>
      <c r="E149" s="1" t="s">
        <v>185</v>
      </c>
      <c r="F149" s="5" t="s">
        <v>16</v>
      </c>
      <c r="G149" s="4" t="s">
        <v>28</v>
      </c>
      <c r="H149" s="5" t="str">
        <f>VLOOKUP(G149,'Master Kode'!$B$3:$D$13,2,0)</f>
        <v>PET Mixed Color Flakes</v>
      </c>
      <c r="I149" s="4">
        <v>2890</v>
      </c>
      <c r="J149" s="4" t="s">
        <v>9</v>
      </c>
      <c r="K149" s="16">
        <f>VLOOKUP(G149,'Master Kode'!$B$3:$D$13,3,0)</f>
        <v>8500</v>
      </c>
      <c r="L149" s="16">
        <f t="shared" si="7"/>
        <v>24565000</v>
      </c>
    </row>
    <row r="150" spans="2:12">
      <c r="B150" s="4" t="s">
        <v>818</v>
      </c>
      <c r="C150" s="3">
        <f t="shared" si="6"/>
        <v>45829</v>
      </c>
      <c r="D150" s="4" t="s">
        <v>561</v>
      </c>
      <c r="E150" s="1" t="s">
        <v>186</v>
      </c>
      <c r="F150" s="5" t="s">
        <v>19</v>
      </c>
      <c r="G150" s="4" t="s">
        <v>30</v>
      </c>
      <c r="H150" s="5" t="str">
        <f>VLOOKUP(G150,'Master Kode'!$B$3:$D$13,2,0)</f>
        <v>PP White Flakes</v>
      </c>
      <c r="I150" s="4">
        <v>2470</v>
      </c>
      <c r="J150" s="4" t="s">
        <v>9</v>
      </c>
      <c r="K150" s="16">
        <f>VLOOKUP(G150,'Master Kode'!$B$3:$D$13,3,0)</f>
        <v>12000</v>
      </c>
      <c r="L150" s="16">
        <f t="shared" si="7"/>
        <v>29640000</v>
      </c>
    </row>
    <row r="151" spans="2:12">
      <c r="B151" s="4" t="s">
        <v>819</v>
      </c>
      <c r="C151" s="3">
        <f t="shared" si="6"/>
        <v>45830</v>
      </c>
      <c r="D151" s="4" t="s">
        <v>562</v>
      </c>
      <c r="E151" s="1" t="s">
        <v>187</v>
      </c>
      <c r="F151" s="5" t="s">
        <v>22</v>
      </c>
      <c r="G151" s="4" t="s">
        <v>34</v>
      </c>
      <c r="H151" s="5" t="str">
        <f>VLOOKUP(G151,'Master Kode'!$B$3:$D$13,2,0)</f>
        <v>PET Hot Washed Flakes</v>
      </c>
      <c r="I151" s="4">
        <v>3750</v>
      </c>
      <c r="J151" s="4" t="s">
        <v>9</v>
      </c>
      <c r="K151" s="16">
        <f>VLOOKUP(G151,'Master Kode'!$B$3:$D$13,3,0)</f>
        <v>14500</v>
      </c>
      <c r="L151" s="16">
        <f t="shared" si="7"/>
        <v>54375000</v>
      </c>
    </row>
    <row r="152" spans="2:12">
      <c r="B152" s="4" t="s">
        <v>820</v>
      </c>
      <c r="C152" s="3">
        <f t="shared" si="6"/>
        <v>45831</v>
      </c>
      <c r="D152" s="4" t="s">
        <v>563</v>
      </c>
      <c r="E152" s="1" t="s">
        <v>188</v>
      </c>
      <c r="F152" s="5" t="s">
        <v>25</v>
      </c>
      <c r="G152" s="4" t="s">
        <v>7</v>
      </c>
      <c r="H152" s="5" t="str">
        <f>VLOOKUP(G152,'Master Kode'!$B$3:$D$13,2,0)</f>
        <v>PET Clear Flakes</v>
      </c>
      <c r="I152" s="4">
        <v>2230</v>
      </c>
      <c r="J152" s="4" t="s">
        <v>9</v>
      </c>
      <c r="K152" s="16">
        <f>VLOOKUP(G152,'Master Kode'!$B$3:$D$13,3,0)</f>
        <v>12500</v>
      </c>
      <c r="L152" s="16">
        <f t="shared" si="7"/>
        <v>27875000</v>
      </c>
    </row>
    <row r="153" spans="2:12">
      <c r="B153" s="4" t="s">
        <v>821</v>
      </c>
      <c r="C153" s="3">
        <f t="shared" si="6"/>
        <v>45832</v>
      </c>
      <c r="D153" s="4" t="s">
        <v>564</v>
      </c>
      <c r="E153" s="1" t="s">
        <v>189</v>
      </c>
      <c r="F153" s="5" t="s">
        <v>6</v>
      </c>
      <c r="G153" s="4" t="s">
        <v>14</v>
      </c>
      <c r="H153" s="5" t="str">
        <f>VLOOKUP(G153,'Master Kode'!$B$3:$D$13,2,0)</f>
        <v>HDPE Natural Flakes</v>
      </c>
      <c r="I153" s="4">
        <v>2680</v>
      </c>
      <c r="J153" s="4" t="s">
        <v>9</v>
      </c>
      <c r="K153" s="16">
        <f>VLOOKUP(G153,'Master Kode'!$B$3:$D$13,3,0)</f>
        <v>13500</v>
      </c>
      <c r="L153" s="16">
        <f t="shared" si="7"/>
        <v>36180000</v>
      </c>
    </row>
    <row r="154" spans="2:12">
      <c r="B154" s="4" t="s">
        <v>822</v>
      </c>
      <c r="C154" s="3">
        <f t="shared" si="6"/>
        <v>45833</v>
      </c>
      <c r="D154" s="4" t="s">
        <v>565</v>
      </c>
      <c r="E154" s="1" t="s">
        <v>190</v>
      </c>
      <c r="F154" s="5" t="s">
        <v>10</v>
      </c>
      <c r="G154" s="4" t="s">
        <v>17</v>
      </c>
      <c r="H154" s="5" t="str">
        <f>VLOOKUP(G154,'Master Kode'!$B$3:$D$13,2,0)</f>
        <v>HDPE Mixed Color Flakes</v>
      </c>
      <c r="I154" s="4">
        <v>3140</v>
      </c>
      <c r="J154" s="4" t="s">
        <v>9</v>
      </c>
      <c r="K154" s="16">
        <f>VLOOKUP(G154,'Master Kode'!$B$3:$D$13,3,0)</f>
        <v>9500</v>
      </c>
      <c r="L154" s="16">
        <f t="shared" si="7"/>
        <v>29830000</v>
      </c>
    </row>
    <row r="155" spans="2:12">
      <c r="B155" s="4" t="s">
        <v>823</v>
      </c>
      <c r="C155" s="3">
        <f t="shared" si="6"/>
        <v>45834</v>
      </c>
      <c r="D155" s="4" t="s">
        <v>566</v>
      </c>
      <c r="E155" s="1" t="s">
        <v>191</v>
      </c>
      <c r="F155" s="5" t="s">
        <v>13</v>
      </c>
      <c r="G155" s="4" t="s">
        <v>23</v>
      </c>
      <c r="H155" s="5" t="str">
        <f>VLOOKUP(G155,'Master Kode'!$B$3:$D$13,2,0)</f>
        <v>PET Green Flakes</v>
      </c>
      <c r="I155" s="4">
        <v>2980</v>
      </c>
      <c r="J155" s="4" t="s">
        <v>9</v>
      </c>
      <c r="K155" s="16">
        <f>VLOOKUP(G155,'Master Kode'!$B$3:$D$13,3,0)</f>
        <v>9000</v>
      </c>
      <c r="L155" s="16">
        <f t="shared" si="7"/>
        <v>26820000</v>
      </c>
    </row>
    <row r="156" spans="2:12">
      <c r="B156" s="4" t="s">
        <v>824</v>
      </c>
      <c r="C156" s="3">
        <f t="shared" si="6"/>
        <v>45835</v>
      </c>
      <c r="D156" s="4" t="s">
        <v>567</v>
      </c>
      <c r="E156" s="1" t="s">
        <v>192</v>
      </c>
      <c r="F156" s="5" t="s">
        <v>16</v>
      </c>
      <c r="G156" s="4" t="s">
        <v>20</v>
      </c>
      <c r="H156" s="5" t="str">
        <f>VLOOKUP(G156,'Master Kode'!$B$3:$D$13,2,0)</f>
        <v>PP Injection Flakes</v>
      </c>
      <c r="I156" s="4">
        <v>1850</v>
      </c>
      <c r="J156" s="4" t="s">
        <v>9</v>
      </c>
      <c r="K156" s="16">
        <f>VLOOKUP(G156,'Master Kode'!$B$3:$D$13,3,0)</f>
        <v>11000</v>
      </c>
      <c r="L156" s="16">
        <f t="shared" si="7"/>
        <v>20350000</v>
      </c>
    </row>
    <row r="157" spans="2:12">
      <c r="B157" s="4" t="s">
        <v>825</v>
      </c>
      <c r="C157" s="3">
        <f t="shared" si="6"/>
        <v>45836</v>
      </c>
      <c r="D157" s="4" t="s">
        <v>568</v>
      </c>
      <c r="E157" s="1" t="s">
        <v>193</v>
      </c>
      <c r="F157" s="5" t="s">
        <v>19</v>
      </c>
      <c r="G157" s="4" t="s">
        <v>26</v>
      </c>
      <c r="H157" s="5" t="str">
        <f>VLOOKUP(G157,'Master Kode'!$B$3:$D$13,2,0)</f>
        <v>HDPE Blue Drum Flakes</v>
      </c>
      <c r="I157" s="4">
        <v>2360</v>
      </c>
      <c r="J157" s="4" t="s">
        <v>9</v>
      </c>
      <c r="K157" s="16">
        <f>VLOOKUP(G157,'Master Kode'!$B$3:$D$13,3,0)</f>
        <v>11500</v>
      </c>
      <c r="L157" s="16">
        <f t="shared" si="7"/>
        <v>27140000</v>
      </c>
    </row>
    <row r="158" spans="2:12">
      <c r="B158" s="4" t="s">
        <v>462</v>
      </c>
      <c r="C158" s="3">
        <f t="shared" si="6"/>
        <v>45841</v>
      </c>
      <c r="D158" s="4" t="s">
        <v>404</v>
      </c>
      <c r="E158" s="1" t="s">
        <v>194</v>
      </c>
      <c r="F158" s="5" t="s">
        <v>6</v>
      </c>
      <c r="G158" s="4" t="s">
        <v>7</v>
      </c>
      <c r="H158" s="5" t="str">
        <f>VLOOKUP(G158,'Master Kode'!$B$3:$D$13,2,0)</f>
        <v>PET Clear Flakes</v>
      </c>
      <c r="I158" s="4">
        <v>2450</v>
      </c>
      <c r="J158" s="4" t="s">
        <v>9</v>
      </c>
      <c r="K158" s="16">
        <f>VLOOKUP(G158,'Master Kode'!$B$3:$D$13,3,0)</f>
        <v>12500</v>
      </c>
      <c r="L158" s="16">
        <f t="shared" si="7"/>
        <v>30625000</v>
      </c>
    </row>
    <row r="159" spans="2:12">
      <c r="B159" s="4" t="s">
        <v>463</v>
      </c>
      <c r="C159" s="3">
        <f t="shared" si="6"/>
        <v>45842</v>
      </c>
      <c r="D159" s="4" t="s">
        <v>405</v>
      </c>
      <c r="E159" s="1" t="s">
        <v>195</v>
      </c>
      <c r="F159" s="5" t="s">
        <v>10</v>
      </c>
      <c r="G159" s="4" t="s">
        <v>11</v>
      </c>
      <c r="H159" s="5" t="str">
        <f>VLOOKUP(G159,'Master Kode'!$B$3:$D$13,2,0)</f>
        <v>PET Blue Flakes</v>
      </c>
      <c r="I159" s="4">
        <v>3100</v>
      </c>
      <c r="J159" s="4" t="s">
        <v>9</v>
      </c>
      <c r="K159" s="16">
        <f>VLOOKUP(G159,'Master Kode'!$B$3:$D$13,3,0)</f>
        <v>10000</v>
      </c>
      <c r="L159" s="16">
        <f t="shared" si="7"/>
        <v>31000000</v>
      </c>
    </row>
    <row r="160" spans="2:12">
      <c r="B160" s="4" t="s">
        <v>826</v>
      </c>
      <c r="C160" s="3">
        <f t="shared" si="6"/>
        <v>45842</v>
      </c>
      <c r="D160" s="4" t="s">
        <v>569</v>
      </c>
      <c r="E160" s="1" t="s">
        <v>196</v>
      </c>
      <c r="F160" s="5" t="s">
        <v>13</v>
      </c>
      <c r="G160" s="4" t="s">
        <v>14</v>
      </c>
      <c r="H160" s="5" t="str">
        <f>VLOOKUP(G160,'Master Kode'!$B$3:$D$13,2,0)</f>
        <v>HDPE Natural Flakes</v>
      </c>
      <c r="I160" s="4">
        <v>1980</v>
      </c>
      <c r="J160" s="4" t="s">
        <v>9</v>
      </c>
      <c r="K160" s="16">
        <f>VLOOKUP(G160,'Master Kode'!$B$3:$D$13,3,0)</f>
        <v>13500</v>
      </c>
      <c r="L160" s="16">
        <f t="shared" si="7"/>
        <v>26730000</v>
      </c>
    </row>
    <row r="161" spans="2:12">
      <c r="B161" s="4" t="s">
        <v>827</v>
      </c>
      <c r="C161" s="3">
        <f t="shared" si="6"/>
        <v>45843</v>
      </c>
      <c r="D161" s="4" t="s">
        <v>570</v>
      </c>
      <c r="E161" s="1" t="s">
        <v>197</v>
      </c>
      <c r="F161" s="5" t="s">
        <v>16</v>
      </c>
      <c r="G161" s="4" t="s">
        <v>17</v>
      </c>
      <c r="H161" s="5" t="str">
        <f>VLOOKUP(G161,'Master Kode'!$B$3:$D$13,2,0)</f>
        <v>HDPE Mixed Color Flakes</v>
      </c>
      <c r="I161" s="4">
        <v>2875</v>
      </c>
      <c r="J161" s="4" t="s">
        <v>9</v>
      </c>
      <c r="K161" s="16">
        <f>VLOOKUP(G161,'Master Kode'!$B$3:$D$13,3,0)</f>
        <v>9500</v>
      </c>
      <c r="L161" s="16">
        <f t="shared" si="7"/>
        <v>27312500</v>
      </c>
    </row>
    <row r="162" spans="2:12">
      <c r="B162" s="4" t="s">
        <v>828</v>
      </c>
      <c r="C162" s="3">
        <f t="shared" si="6"/>
        <v>45843</v>
      </c>
      <c r="D162" s="4" t="s">
        <v>571</v>
      </c>
      <c r="E162" s="1" t="s">
        <v>198</v>
      </c>
      <c r="F162" s="5" t="s">
        <v>19</v>
      </c>
      <c r="G162" s="4" t="s">
        <v>20</v>
      </c>
      <c r="H162" s="5" t="str">
        <f>VLOOKUP(G162,'Master Kode'!$B$3:$D$13,2,0)</f>
        <v>PP Injection Flakes</v>
      </c>
      <c r="I162" s="4">
        <v>1650</v>
      </c>
      <c r="J162" s="4" t="s">
        <v>9</v>
      </c>
      <c r="K162" s="16">
        <f>VLOOKUP(G162,'Master Kode'!$B$3:$D$13,3,0)</f>
        <v>11000</v>
      </c>
      <c r="L162" s="16">
        <f t="shared" si="7"/>
        <v>18150000</v>
      </c>
    </row>
    <row r="163" spans="2:12">
      <c r="B163" s="4" t="s">
        <v>829</v>
      </c>
      <c r="C163" s="3">
        <f t="shared" si="6"/>
        <v>45844</v>
      </c>
      <c r="D163" s="4" t="s">
        <v>572</v>
      </c>
      <c r="E163" s="1" t="s">
        <v>199</v>
      </c>
      <c r="F163" s="5" t="s">
        <v>22</v>
      </c>
      <c r="G163" s="4" t="s">
        <v>23</v>
      </c>
      <c r="H163" s="5" t="str">
        <f>VLOOKUP(G163,'Master Kode'!$B$3:$D$13,2,0)</f>
        <v>PET Green Flakes</v>
      </c>
      <c r="I163" s="4">
        <v>3420</v>
      </c>
      <c r="J163" s="4" t="s">
        <v>9</v>
      </c>
      <c r="K163" s="16">
        <f>VLOOKUP(G163,'Master Kode'!$B$3:$D$13,3,0)</f>
        <v>9000</v>
      </c>
      <c r="L163" s="16">
        <f t="shared" si="7"/>
        <v>30780000</v>
      </c>
    </row>
    <row r="164" spans="2:12">
      <c r="B164" s="4" t="s">
        <v>830</v>
      </c>
      <c r="C164" s="3">
        <f t="shared" si="6"/>
        <v>45844</v>
      </c>
      <c r="D164" s="4" t="s">
        <v>573</v>
      </c>
      <c r="E164" s="1" t="s">
        <v>200</v>
      </c>
      <c r="F164" s="5" t="s">
        <v>25</v>
      </c>
      <c r="G164" s="4" t="s">
        <v>26</v>
      </c>
      <c r="H164" s="5" t="str">
        <f>VLOOKUP(G164,'Master Kode'!$B$3:$D$13,2,0)</f>
        <v>HDPE Blue Drum Flakes</v>
      </c>
      <c r="I164" s="4">
        <v>2210</v>
      </c>
      <c r="J164" s="4" t="s">
        <v>9</v>
      </c>
      <c r="K164" s="16">
        <f>VLOOKUP(G164,'Master Kode'!$B$3:$D$13,3,0)</f>
        <v>11500</v>
      </c>
      <c r="L164" s="16">
        <f t="shared" si="7"/>
        <v>25415000</v>
      </c>
    </row>
    <row r="165" spans="2:12">
      <c r="B165" s="4" t="s">
        <v>831</v>
      </c>
      <c r="C165" s="3">
        <f t="shared" si="6"/>
        <v>45845</v>
      </c>
      <c r="D165" s="4" t="s">
        <v>574</v>
      </c>
      <c r="E165" s="1" t="s">
        <v>201</v>
      </c>
      <c r="F165" s="5" t="s">
        <v>6</v>
      </c>
      <c r="G165" s="4" t="s">
        <v>28</v>
      </c>
      <c r="H165" s="5" t="str">
        <f>VLOOKUP(G165,'Master Kode'!$B$3:$D$13,2,0)</f>
        <v>PET Mixed Color Flakes</v>
      </c>
      <c r="I165" s="4">
        <v>3150</v>
      </c>
      <c r="J165" s="4" t="s">
        <v>9</v>
      </c>
      <c r="K165" s="16">
        <f>VLOOKUP(G165,'Master Kode'!$B$3:$D$13,3,0)</f>
        <v>8500</v>
      </c>
      <c r="L165" s="16">
        <f t="shared" si="7"/>
        <v>26775000</v>
      </c>
    </row>
    <row r="166" spans="2:12">
      <c r="B166" s="4" t="s">
        <v>832</v>
      </c>
      <c r="C166" s="3">
        <f t="shared" si="6"/>
        <v>45845</v>
      </c>
      <c r="D166" s="4" t="s">
        <v>575</v>
      </c>
      <c r="E166" s="1" t="s">
        <v>202</v>
      </c>
      <c r="F166" s="5" t="s">
        <v>10</v>
      </c>
      <c r="G166" s="4" t="s">
        <v>7</v>
      </c>
      <c r="H166" s="5" t="str">
        <f>VLOOKUP(G166,'Master Kode'!$B$3:$D$13,2,0)</f>
        <v>PET Clear Flakes</v>
      </c>
      <c r="I166" s="4">
        <v>1890</v>
      </c>
      <c r="J166" s="4" t="s">
        <v>9</v>
      </c>
      <c r="K166" s="16">
        <f>VLOOKUP(G166,'Master Kode'!$B$3:$D$13,3,0)</f>
        <v>12500</v>
      </c>
      <c r="L166" s="16">
        <f t="shared" si="7"/>
        <v>23625000</v>
      </c>
    </row>
    <row r="167" spans="2:12">
      <c r="B167" s="4" t="s">
        <v>833</v>
      </c>
      <c r="C167" s="3">
        <f t="shared" si="6"/>
        <v>45846</v>
      </c>
      <c r="D167" s="4" t="s">
        <v>576</v>
      </c>
      <c r="E167" s="1" t="s">
        <v>203</v>
      </c>
      <c r="F167" s="5" t="s">
        <v>13</v>
      </c>
      <c r="G167" s="4" t="s">
        <v>14</v>
      </c>
      <c r="H167" s="5" t="str">
        <f>VLOOKUP(G167,'Master Kode'!$B$3:$D$13,2,0)</f>
        <v>HDPE Natural Flakes</v>
      </c>
      <c r="I167" s="4">
        <v>2765</v>
      </c>
      <c r="J167" s="4" t="s">
        <v>9</v>
      </c>
      <c r="K167" s="16">
        <f>VLOOKUP(G167,'Master Kode'!$B$3:$D$13,3,0)</f>
        <v>13500</v>
      </c>
      <c r="L167" s="16">
        <f t="shared" si="7"/>
        <v>37327500</v>
      </c>
    </row>
    <row r="168" spans="2:12">
      <c r="B168" s="4" t="s">
        <v>834</v>
      </c>
      <c r="C168" s="3">
        <f t="shared" si="6"/>
        <v>45846</v>
      </c>
      <c r="D168" s="4" t="s">
        <v>577</v>
      </c>
      <c r="E168" s="1" t="s">
        <v>204</v>
      </c>
      <c r="F168" s="5" t="s">
        <v>16</v>
      </c>
      <c r="G168" s="4" t="s">
        <v>32</v>
      </c>
      <c r="H168" s="5" t="str">
        <f>VLOOKUP(G168,'Master Kode'!$B$3:$D$13,2,0)</f>
        <v>HDPE Bottle Cap Flakes</v>
      </c>
      <c r="I168" s="4">
        <v>2050</v>
      </c>
      <c r="J168" s="4" t="s">
        <v>9</v>
      </c>
      <c r="K168" s="16">
        <f>VLOOKUP(G168,'Master Kode'!$B$3:$D$13,3,0)</f>
        <v>10500</v>
      </c>
      <c r="L168" s="16">
        <f t="shared" si="7"/>
        <v>21525000</v>
      </c>
    </row>
    <row r="169" spans="2:12">
      <c r="B169" s="4" t="s">
        <v>835</v>
      </c>
      <c r="C169" s="3">
        <f t="shared" si="6"/>
        <v>45846</v>
      </c>
      <c r="D169" s="4" t="s">
        <v>578</v>
      </c>
      <c r="E169" s="1" t="s">
        <v>205</v>
      </c>
      <c r="F169" s="5" t="s">
        <v>19</v>
      </c>
      <c r="G169" s="4" t="s">
        <v>30</v>
      </c>
      <c r="H169" s="5" t="str">
        <f>VLOOKUP(G169,'Master Kode'!$B$3:$D$13,2,0)</f>
        <v>PP White Flakes</v>
      </c>
      <c r="I169" s="4">
        <v>2950</v>
      </c>
      <c r="J169" s="4" t="s">
        <v>9</v>
      </c>
      <c r="K169" s="16">
        <f>VLOOKUP(G169,'Master Kode'!$B$3:$D$13,3,0)</f>
        <v>12000</v>
      </c>
      <c r="L169" s="16">
        <f t="shared" si="7"/>
        <v>35400000</v>
      </c>
    </row>
    <row r="170" spans="2:12">
      <c r="B170" s="4" t="s">
        <v>836</v>
      </c>
      <c r="C170" s="3">
        <f t="shared" si="6"/>
        <v>45847</v>
      </c>
      <c r="D170" s="4" t="s">
        <v>579</v>
      </c>
      <c r="E170" s="1" t="s">
        <v>206</v>
      </c>
      <c r="F170" s="5" t="s">
        <v>22</v>
      </c>
      <c r="G170" s="4" t="s">
        <v>11</v>
      </c>
      <c r="H170" s="5" t="str">
        <f>VLOOKUP(G170,'Master Kode'!$B$3:$D$13,2,0)</f>
        <v>PET Blue Flakes</v>
      </c>
      <c r="I170" s="4">
        <v>3120</v>
      </c>
      <c r="J170" s="4" t="s">
        <v>9</v>
      </c>
      <c r="K170" s="16">
        <f>VLOOKUP(G170,'Master Kode'!$B$3:$D$13,3,0)</f>
        <v>10000</v>
      </c>
      <c r="L170" s="16">
        <f t="shared" si="7"/>
        <v>31200000</v>
      </c>
    </row>
    <row r="171" spans="2:12">
      <c r="B171" s="4" t="s">
        <v>837</v>
      </c>
      <c r="C171" s="3">
        <f t="shared" si="6"/>
        <v>45847</v>
      </c>
      <c r="D171" s="4" t="s">
        <v>580</v>
      </c>
      <c r="E171" s="1" t="s">
        <v>207</v>
      </c>
      <c r="F171" s="5" t="s">
        <v>25</v>
      </c>
      <c r="G171" s="4" t="s">
        <v>34</v>
      </c>
      <c r="H171" s="5" t="str">
        <f>VLOOKUP(G171,'Master Kode'!$B$3:$D$13,2,0)</f>
        <v>PET Hot Washed Flakes</v>
      </c>
      <c r="I171" s="4">
        <v>2550</v>
      </c>
      <c r="J171" s="4" t="s">
        <v>9</v>
      </c>
      <c r="K171" s="16">
        <f>VLOOKUP(G171,'Master Kode'!$B$3:$D$13,3,0)</f>
        <v>14500</v>
      </c>
      <c r="L171" s="16">
        <f t="shared" si="7"/>
        <v>36975000</v>
      </c>
    </row>
    <row r="172" spans="2:12">
      <c r="B172" s="4" t="s">
        <v>838</v>
      </c>
      <c r="C172" s="3">
        <f t="shared" si="6"/>
        <v>45848</v>
      </c>
      <c r="D172" s="4" t="s">
        <v>581</v>
      </c>
      <c r="E172" s="1" t="s">
        <v>208</v>
      </c>
      <c r="F172" s="5" t="s">
        <v>6</v>
      </c>
      <c r="G172" s="4" t="s">
        <v>17</v>
      </c>
      <c r="H172" s="5" t="str">
        <f>VLOOKUP(G172,'Master Kode'!$B$3:$D$13,2,0)</f>
        <v>HDPE Mixed Color Flakes</v>
      </c>
      <c r="I172" s="4">
        <v>3400</v>
      </c>
      <c r="J172" s="4" t="s">
        <v>9</v>
      </c>
      <c r="K172" s="16">
        <f>VLOOKUP(G172,'Master Kode'!$B$3:$D$13,3,0)</f>
        <v>9500</v>
      </c>
      <c r="L172" s="16">
        <f t="shared" si="7"/>
        <v>32300000</v>
      </c>
    </row>
    <row r="173" spans="2:12">
      <c r="B173" s="4" t="s">
        <v>839</v>
      </c>
      <c r="C173" s="3">
        <f t="shared" si="6"/>
        <v>45848</v>
      </c>
      <c r="D173" s="4" t="s">
        <v>582</v>
      </c>
      <c r="E173" s="1" t="s">
        <v>209</v>
      </c>
      <c r="F173" s="5" t="s">
        <v>10</v>
      </c>
      <c r="G173" s="4" t="s">
        <v>7</v>
      </c>
      <c r="H173" s="5" t="str">
        <f>VLOOKUP(G173,'Master Kode'!$B$3:$D$13,2,0)</f>
        <v>PET Clear Flakes</v>
      </c>
      <c r="I173" s="4">
        <v>2750</v>
      </c>
      <c r="J173" s="4" t="s">
        <v>9</v>
      </c>
      <c r="K173" s="16">
        <f>VLOOKUP(G173,'Master Kode'!$B$3:$D$13,3,0)</f>
        <v>12500</v>
      </c>
      <c r="L173" s="16">
        <f t="shared" si="7"/>
        <v>34375000</v>
      </c>
    </row>
    <row r="174" spans="2:12">
      <c r="B174" s="4" t="s">
        <v>840</v>
      </c>
      <c r="C174" s="3">
        <f t="shared" si="6"/>
        <v>45849</v>
      </c>
      <c r="D174" s="4" t="s">
        <v>583</v>
      </c>
      <c r="E174" s="1" t="s">
        <v>210</v>
      </c>
      <c r="F174" s="5" t="s">
        <v>13</v>
      </c>
      <c r="G174" s="4" t="s">
        <v>23</v>
      </c>
      <c r="H174" s="5" t="str">
        <f>VLOOKUP(G174,'Master Kode'!$B$3:$D$13,2,0)</f>
        <v>PET Green Flakes</v>
      </c>
      <c r="I174" s="4">
        <v>3105</v>
      </c>
      <c r="J174" s="4" t="s">
        <v>9</v>
      </c>
      <c r="K174" s="16">
        <f>VLOOKUP(G174,'Master Kode'!$B$3:$D$13,3,0)</f>
        <v>9000</v>
      </c>
      <c r="L174" s="16">
        <f t="shared" si="7"/>
        <v>27945000</v>
      </c>
    </row>
    <row r="175" spans="2:12">
      <c r="B175" s="4" t="s">
        <v>841</v>
      </c>
      <c r="C175" s="3">
        <f t="shared" si="6"/>
        <v>45850</v>
      </c>
      <c r="D175" s="4" t="s">
        <v>584</v>
      </c>
      <c r="E175" s="1" t="s">
        <v>211</v>
      </c>
      <c r="F175" s="5" t="s">
        <v>16</v>
      </c>
      <c r="G175" s="4" t="s">
        <v>14</v>
      </c>
      <c r="H175" s="5" t="str">
        <f>VLOOKUP(G175,'Master Kode'!$B$3:$D$13,2,0)</f>
        <v>HDPE Natural Flakes</v>
      </c>
      <c r="I175" s="4">
        <v>2250</v>
      </c>
      <c r="J175" s="4" t="s">
        <v>9</v>
      </c>
      <c r="K175" s="16">
        <f>VLOOKUP(G175,'Master Kode'!$B$3:$D$13,3,0)</f>
        <v>13500</v>
      </c>
      <c r="L175" s="16">
        <f t="shared" si="7"/>
        <v>30375000</v>
      </c>
    </row>
    <row r="176" spans="2:12">
      <c r="B176" s="4" t="s">
        <v>842</v>
      </c>
      <c r="C176" s="3">
        <f t="shared" si="6"/>
        <v>45851</v>
      </c>
      <c r="D176" s="4" t="s">
        <v>585</v>
      </c>
      <c r="E176" s="1" t="s">
        <v>212</v>
      </c>
      <c r="F176" s="5" t="s">
        <v>19</v>
      </c>
      <c r="G176" s="4" t="s">
        <v>20</v>
      </c>
      <c r="H176" s="5" t="str">
        <f>VLOOKUP(G176,'Master Kode'!$B$3:$D$13,2,0)</f>
        <v>PP Injection Flakes</v>
      </c>
      <c r="I176" s="4">
        <v>3325</v>
      </c>
      <c r="J176" s="4" t="s">
        <v>9</v>
      </c>
      <c r="K176" s="16">
        <f>VLOOKUP(G176,'Master Kode'!$B$3:$D$13,3,0)</f>
        <v>11000</v>
      </c>
      <c r="L176" s="16">
        <f t="shared" si="7"/>
        <v>36575000</v>
      </c>
    </row>
    <row r="177" spans="2:12">
      <c r="B177" s="4" t="s">
        <v>843</v>
      </c>
      <c r="C177" s="3">
        <f t="shared" si="6"/>
        <v>45852</v>
      </c>
      <c r="D177" s="4" t="s">
        <v>586</v>
      </c>
      <c r="E177" s="1" t="s">
        <v>213</v>
      </c>
      <c r="F177" s="5" t="s">
        <v>22</v>
      </c>
      <c r="G177" s="4" t="s">
        <v>28</v>
      </c>
      <c r="H177" s="5" t="str">
        <f>VLOOKUP(G177,'Master Kode'!$B$3:$D$13,2,0)</f>
        <v>PET Mixed Color Flakes</v>
      </c>
      <c r="I177" s="4">
        <v>2870</v>
      </c>
      <c r="J177" s="4" t="s">
        <v>9</v>
      </c>
      <c r="K177" s="16">
        <f>VLOOKUP(G177,'Master Kode'!$B$3:$D$13,3,0)</f>
        <v>8500</v>
      </c>
      <c r="L177" s="16">
        <f t="shared" si="7"/>
        <v>24395000</v>
      </c>
    </row>
    <row r="178" spans="2:12">
      <c r="B178" s="4" t="s">
        <v>844</v>
      </c>
      <c r="C178" s="3">
        <f t="shared" si="6"/>
        <v>44027</v>
      </c>
      <c r="D178" s="4" t="s">
        <v>587</v>
      </c>
      <c r="E178" s="1" t="s">
        <v>214</v>
      </c>
      <c r="F178" s="5" t="s">
        <v>25</v>
      </c>
      <c r="G178" s="4" t="s">
        <v>11</v>
      </c>
      <c r="H178" s="5" t="str">
        <f>VLOOKUP(G178,'Master Kode'!$B$3:$D$13,2,0)</f>
        <v>PET Blue Flakes</v>
      </c>
      <c r="I178" s="4">
        <v>3200</v>
      </c>
      <c r="J178" s="4" t="s">
        <v>9</v>
      </c>
      <c r="K178" s="16">
        <f>VLOOKUP(G178,'Master Kode'!$B$3:$D$13,3,0)</f>
        <v>10000</v>
      </c>
      <c r="L178" s="16">
        <f t="shared" si="7"/>
        <v>32000000</v>
      </c>
    </row>
    <row r="179" spans="2:12">
      <c r="B179" s="4" t="s">
        <v>845</v>
      </c>
      <c r="C179" s="3">
        <f t="shared" si="6"/>
        <v>44028</v>
      </c>
      <c r="D179" s="4" t="s">
        <v>588</v>
      </c>
      <c r="E179" s="1" t="s">
        <v>215</v>
      </c>
      <c r="F179" s="5" t="s">
        <v>6</v>
      </c>
      <c r="G179" s="4" t="s">
        <v>34</v>
      </c>
      <c r="H179" s="5" t="str">
        <f>VLOOKUP(G179,'Master Kode'!$B$3:$D$13,2,0)</f>
        <v>PET Hot Washed Flakes</v>
      </c>
      <c r="I179" s="4">
        <v>2650</v>
      </c>
      <c r="J179" s="4" t="s">
        <v>9</v>
      </c>
      <c r="K179" s="16">
        <f>VLOOKUP(G179,'Master Kode'!$B$3:$D$13,3,0)</f>
        <v>14500</v>
      </c>
      <c r="L179" s="16">
        <f t="shared" si="7"/>
        <v>38425000</v>
      </c>
    </row>
    <row r="180" spans="2:12">
      <c r="B180" s="4" t="s">
        <v>846</v>
      </c>
      <c r="C180" s="3">
        <f t="shared" si="6"/>
        <v>44029</v>
      </c>
      <c r="D180" s="4" t="s">
        <v>589</v>
      </c>
      <c r="E180" s="1" t="s">
        <v>216</v>
      </c>
      <c r="F180" s="5" t="s">
        <v>10</v>
      </c>
      <c r="G180" s="4" t="s">
        <v>32</v>
      </c>
      <c r="H180" s="5" t="str">
        <f>VLOOKUP(G180,'Master Kode'!$B$3:$D$13,2,0)</f>
        <v>HDPE Bottle Cap Flakes</v>
      </c>
      <c r="I180" s="4">
        <v>2100</v>
      </c>
      <c r="J180" s="4" t="s">
        <v>9</v>
      </c>
      <c r="K180" s="16">
        <f>VLOOKUP(G180,'Master Kode'!$B$3:$D$13,3,0)</f>
        <v>10500</v>
      </c>
      <c r="L180" s="16">
        <f t="shared" si="7"/>
        <v>22050000</v>
      </c>
    </row>
    <row r="181" spans="2:12">
      <c r="B181" s="4" t="s">
        <v>847</v>
      </c>
      <c r="C181" s="3">
        <f t="shared" si="6"/>
        <v>45856</v>
      </c>
      <c r="D181" s="4" t="s">
        <v>590</v>
      </c>
      <c r="E181" s="1" t="s">
        <v>217</v>
      </c>
      <c r="F181" s="5" t="s">
        <v>13</v>
      </c>
      <c r="G181" s="4" t="s">
        <v>14</v>
      </c>
      <c r="H181" s="5" t="str">
        <f>VLOOKUP(G181,'Master Kode'!$B$3:$D$13,2,0)</f>
        <v>HDPE Natural Flakes</v>
      </c>
      <c r="I181" s="4">
        <v>2980</v>
      </c>
      <c r="J181" s="4" t="s">
        <v>9</v>
      </c>
      <c r="K181" s="16">
        <f>VLOOKUP(G181,'Master Kode'!$B$3:$D$13,3,0)</f>
        <v>13500</v>
      </c>
      <c r="L181" s="16">
        <f t="shared" si="7"/>
        <v>40230000</v>
      </c>
    </row>
    <row r="182" spans="2:12">
      <c r="B182" s="4" t="s">
        <v>848</v>
      </c>
      <c r="C182" s="3">
        <f t="shared" si="6"/>
        <v>45857</v>
      </c>
      <c r="D182" s="4" t="s">
        <v>591</v>
      </c>
      <c r="E182" s="1" t="s">
        <v>218</v>
      </c>
      <c r="F182" s="5" t="s">
        <v>16</v>
      </c>
      <c r="G182" s="4" t="s">
        <v>23</v>
      </c>
      <c r="H182" s="5" t="str">
        <f>VLOOKUP(G182,'Master Kode'!$B$3:$D$13,2,0)</f>
        <v>PET Green Flakes</v>
      </c>
      <c r="I182" s="4">
        <v>3450</v>
      </c>
      <c r="J182" s="4" t="s">
        <v>9</v>
      </c>
      <c r="K182" s="16">
        <f>VLOOKUP(G182,'Master Kode'!$B$3:$D$13,3,0)</f>
        <v>9000</v>
      </c>
      <c r="L182" s="16">
        <f t="shared" si="7"/>
        <v>31050000</v>
      </c>
    </row>
    <row r="183" spans="2:12">
      <c r="B183" s="4" t="s">
        <v>849</v>
      </c>
      <c r="C183" s="3">
        <f t="shared" si="6"/>
        <v>45858</v>
      </c>
      <c r="D183" s="4" t="s">
        <v>592</v>
      </c>
      <c r="E183" s="1" t="s">
        <v>219</v>
      </c>
      <c r="F183" s="5" t="s">
        <v>19</v>
      </c>
      <c r="G183" s="4" t="s">
        <v>20</v>
      </c>
      <c r="H183" s="5" t="str">
        <f>VLOOKUP(G183,'Master Kode'!$B$3:$D$13,2,0)</f>
        <v>PP Injection Flakes</v>
      </c>
      <c r="I183" s="4">
        <v>3100</v>
      </c>
      <c r="J183" s="4" t="s">
        <v>9</v>
      </c>
      <c r="K183" s="16">
        <f>VLOOKUP(G183,'Master Kode'!$B$3:$D$13,3,0)</f>
        <v>11000</v>
      </c>
      <c r="L183" s="16">
        <f t="shared" si="7"/>
        <v>34100000</v>
      </c>
    </row>
    <row r="184" spans="2:12">
      <c r="B184" s="4" t="s">
        <v>850</v>
      </c>
      <c r="C184" s="3">
        <f t="shared" si="6"/>
        <v>45872</v>
      </c>
      <c r="D184" s="4" t="s">
        <v>593</v>
      </c>
      <c r="E184" s="1" t="s">
        <v>220</v>
      </c>
      <c r="F184" s="5" t="s">
        <v>6</v>
      </c>
      <c r="G184" s="4" t="s">
        <v>7</v>
      </c>
      <c r="H184" s="5" t="str">
        <f>VLOOKUP(G184,'Master Kode'!$B$3:$D$13,2,0)</f>
        <v>PET Clear Flakes</v>
      </c>
      <c r="I184" s="4">
        <v>2500</v>
      </c>
      <c r="J184" s="4" t="s">
        <v>9</v>
      </c>
      <c r="K184" s="16">
        <f>VLOOKUP(G184,'Master Kode'!$B$3:$D$13,3,0)</f>
        <v>12500</v>
      </c>
      <c r="L184" s="16">
        <f t="shared" si="7"/>
        <v>31250000</v>
      </c>
    </row>
    <row r="185" spans="2:12">
      <c r="B185" s="4" t="s">
        <v>851</v>
      </c>
      <c r="C185" s="3">
        <f t="shared" si="6"/>
        <v>45873</v>
      </c>
      <c r="D185" s="4" t="s">
        <v>594</v>
      </c>
      <c r="E185" s="1" t="s">
        <v>221</v>
      </c>
      <c r="F185" s="5" t="s">
        <v>10</v>
      </c>
      <c r="G185" s="4" t="s">
        <v>11</v>
      </c>
      <c r="H185" s="5" t="str">
        <f>VLOOKUP(G185,'Master Kode'!$B$3:$D$13,2,0)</f>
        <v>PET Blue Flakes</v>
      </c>
      <c r="I185" s="4">
        <v>3100</v>
      </c>
      <c r="J185" s="4" t="s">
        <v>9</v>
      </c>
      <c r="K185" s="16">
        <f>VLOOKUP(G185,'Master Kode'!$B$3:$D$13,3,0)</f>
        <v>10000</v>
      </c>
      <c r="L185" s="16">
        <f t="shared" si="7"/>
        <v>31000000</v>
      </c>
    </row>
    <row r="186" spans="2:12">
      <c r="B186" s="4" t="s">
        <v>852</v>
      </c>
      <c r="C186" s="3">
        <f t="shared" si="6"/>
        <v>45874</v>
      </c>
      <c r="D186" s="4" t="s">
        <v>595</v>
      </c>
      <c r="E186" s="1" t="s">
        <v>222</v>
      </c>
      <c r="F186" s="5" t="s">
        <v>13</v>
      </c>
      <c r="G186" s="4" t="s">
        <v>14</v>
      </c>
      <c r="H186" s="5" t="str">
        <f>VLOOKUP(G186,'Master Kode'!$B$3:$D$13,2,0)</f>
        <v>HDPE Natural Flakes</v>
      </c>
      <c r="I186" s="4">
        <v>2200</v>
      </c>
      <c r="J186" s="4" t="s">
        <v>9</v>
      </c>
      <c r="K186" s="16">
        <f>VLOOKUP(G186,'Master Kode'!$B$3:$D$13,3,0)</f>
        <v>13500</v>
      </c>
      <c r="L186" s="16">
        <f t="shared" si="7"/>
        <v>29700000</v>
      </c>
    </row>
    <row r="187" spans="2:12">
      <c r="B187" s="4" t="s">
        <v>853</v>
      </c>
      <c r="C187" s="3">
        <f t="shared" si="6"/>
        <v>45875</v>
      </c>
      <c r="D187" s="4" t="s">
        <v>596</v>
      </c>
      <c r="E187" s="1" t="s">
        <v>223</v>
      </c>
      <c r="F187" s="5" t="s">
        <v>16</v>
      </c>
      <c r="G187" s="4" t="s">
        <v>17</v>
      </c>
      <c r="H187" s="5" t="str">
        <f>VLOOKUP(G187,'Master Kode'!$B$3:$D$13,2,0)</f>
        <v>HDPE Mixed Color Flakes</v>
      </c>
      <c r="I187" s="4">
        <v>1850</v>
      </c>
      <c r="J187" s="4" t="s">
        <v>9</v>
      </c>
      <c r="K187" s="16">
        <f>VLOOKUP(G187,'Master Kode'!$B$3:$D$13,3,0)</f>
        <v>9500</v>
      </c>
      <c r="L187" s="16">
        <f t="shared" si="7"/>
        <v>17575000</v>
      </c>
    </row>
    <row r="188" spans="2:12">
      <c r="B188" s="4" t="s">
        <v>854</v>
      </c>
      <c r="C188" s="3">
        <f t="shared" si="6"/>
        <v>45876</v>
      </c>
      <c r="D188" s="4" t="s">
        <v>597</v>
      </c>
      <c r="E188" s="1" t="s">
        <v>224</v>
      </c>
      <c r="F188" s="5" t="s">
        <v>19</v>
      </c>
      <c r="G188" s="4" t="s">
        <v>20</v>
      </c>
      <c r="H188" s="5" t="str">
        <f>VLOOKUP(G188,'Master Kode'!$B$3:$D$13,2,0)</f>
        <v>PP Injection Flakes</v>
      </c>
      <c r="I188" s="4">
        <v>2950</v>
      </c>
      <c r="J188" s="4" t="s">
        <v>9</v>
      </c>
      <c r="K188" s="16">
        <f>VLOOKUP(G188,'Master Kode'!$B$3:$D$13,3,0)</f>
        <v>11000</v>
      </c>
      <c r="L188" s="16">
        <f t="shared" si="7"/>
        <v>32450000</v>
      </c>
    </row>
    <row r="189" spans="2:12">
      <c r="B189" s="4" t="s">
        <v>855</v>
      </c>
      <c r="C189" s="3">
        <f t="shared" si="6"/>
        <v>45877</v>
      </c>
      <c r="D189" s="4" t="s">
        <v>598</v>
      </c>
      <c r="E189" s="1" t="s">
        <v>225</v>
      </c>
      <c r="F189" s="5" t="s">
        <v>22</v>
      </c>
      <c r="G189" s="4" t="s">
        <v>23</v>
      </c>
      <c r="H189" s="5" t="str">
        <f>VLOOKUP(G189,'Master Kode'!$B$3:$D$13,2,0)</f>
        <v>PET Green Flakes</v>
      </c>
      <c r="I189" s="4">
        <v>2700</v>
      </c>
      <c r="J189" s="4" t="s">
        <v>9</v>
      </c>
      <c r="K189" s="16">
        <f>VLOOKUP(G189,'Master Kode'!$B$3:$D$13,3,0)</f>
        <v>9000</v>
      </c>
      <c r="L189" s="16">
        <f t="shared" si="7"/>
        <v>24300000</v>
      </c>
    </row>
    <row r="190" spans="2:12">
      <c r="B190" s="4" t="s">
        <v>856</v>
      </c>
      <c r="C190" s="3">
        <f t="shared" si="6"/>
        <v>45878</v>
      </c>
      <c r="D190" s="4" t="s">
        <v>599</v>
      </c>
      <c r="E190" s="1" t="s">
        <v>226</v>
      </c>
      <c r="F190" s="5" t="s">
        <v>25</v>
      </c>
      <c r="G190" s="4" t="s">
        <v>26</v>
      </c>
      <c r="H190" s="5" t="str">
        <f>VLOOKUP(G190,'Master Kode'!$B$3:$D$13,2,0)</f>
        <v>HDPE Blue Drum Flakes</v>
      </c>
      <c r="I190" s="4">
        <v>1650</v>
      </c>
      <c r="J190" s="4" t="s">
        <v>9</v>
      </c>
      <c r="K190" s="16">
        <f>VLOOKUP(G190,'Master Kode'!$B$3:$D$13,3,0)</f>
        <v>11500</v>
      </c>
      <c r="L190" s="16">
        <f t="shared" si="7"/>
        <v>18975000</v>
      </c>
    </row>
    <row r="191" spans="2:12">
      <c r="B191" s="4" t="s">
        <v>857</v>
      </c>
      <c r="C191" s="3">
        <f t="shared" si="6"/>
        <v>45879</v>
      </c>
      <c r="D191" s="4" t="s">
        <v>600</v>
      </c>
      <c r="E191" s="1" t="s">
        <v>227</v>
      </c>
      <c r="F191" s="5" t="s">
        <v>6</v>
      </c>
      <c r="G191" s="4" t="s">
        <v>28</v>
      </c>
      <c r="H191" s="5" t="str">
        <f>VLOOKUP(G191,'Master Kode'!$B$3:$D$13,2,0)</f>
        <v>PET Mixed Color Flakes</v>
      </c>
      <c r="I191" s="4">
        <v>2100</v>
      </c>
      <c r="J191" s="4" t="s">
        <v>9</v>
      </c>
      <c r="K191" s="16">
        <f>VLOOKUP(G191,'Master Kode'!$B$3:$D$13,3,0)</f>
        <v>8500</v>
      </c>
      <c r="L191" s="16">
        <f t="shared" si="7"/>
        <v>17850000</v>
      </c>
    </row>
    <row r="192" spans="2:12">
      <c r="B192" s="4" t="s">
        <v>858</v>
      </c>
      <c r="C192" s="3">
        <f t="shared" si="6"/>
        <v>45880</v>
      </c>
      <c r="D192" s="4" t="s">
        <v>601</v>
      </c>
      <c r="E192" s="1" t="s">
        <v>228</v>
      </c>
      <c r="F192" s="5" t="s">
        <v>10</v>
      </c>
      <c r="G192" s="4" t="s">
        <v>30</v>
      </c>
      <c r="H192" s="5" t="str">
        <f>VLOOKUP(G192,'Master Kode'!$B$3:$D$13,2,0)</f>
        <v>PP White Flakes</v>
      </c>
      <c r="I192" s="4">
        <v>3250</v>
      </c>
      <c r="J192" s="4" t="s">
        <v>9</v>
      </c>
      <c r="K192" s="16">
        <f>VLOOKUP(G192,'Master Kode'!$B$3:$D$13,3,0)</f>
        <v>12000</v>
      </c>
      <c r="L192" s="16">
        <f t="shared" si="7"/>
        <v>39000000</v>
      </c>
    </row>
    <row r="193" spans="2:12">
      <c r="B193" s="4" t="s">
        <v>859</v>
      </c>
      <c r="C193" s="3">
        <f t="shared" si="6"/>
        <v>45881</v>
      </c>
      <c r="D193" s="4" t="s">
        <v>602</v>
      </c>
      <c r="E193" s="1" t="s">
        <v>229</v>
      </c>
      <c r="F193" s="5" t="s">
        <v>13</v>
      </c>
      <c r="G193" s="4" t="s">
        <v>32</v>
      </c>
      <c r="H193" s="5" t="str">
        <f>VLOOKUP(G193,'Master Kode'!$B$3:$D$13,2,0)</f>
        <v>HDPE Bottle Cap Flakes</v>
      </c>
      <c r="I193" s="4">
        <v>2800</v>
      </c>
      <c r="J193" s="4" t="s">
        <v>9</v>
      </c>
      <c r="K193" s="16">
        <f>VLOOKUP(G193,'Master Kode'!$B$3:$D$13,3,0)</f>
        <v>10500</v>
      </c>
      <c r="L193" s="16">
        <f t="shared" si="7"/>
        <v>29400000</v>
      </c>
    </row>
    <row r="194" spans="2:12">
      <c r="B194" s="4" t="s">
        <v>860</v>
      </c>
      <c r="C194" s="3">
        <f t="shared" si="6"/>
        <v>45882</v>
      </c>
      <c r="D194" s="4" t="s">
        <v>603</v>
      </c>
      <c r="E194" s="1" t="s">
        <v>230</v>
      </c>
      <c r="F194" s="5" t="s">
        <v>16</v>
      </c>
      <c r="G194" s="4" t="s">
        <v>34</v>
      </c>
      <c r="H194" s="5" t="str">
        <f>VLOOKUP(G194,'Master Kode'!$B$3:$D$13,2,0)</f>
        <v>PET Hot Washed Flakes</v>
      </c>
      <c r="I194" s="4">
        <v>3400</v>
      </c>
      <c r="J194" s="4" t="s">
        <v>9</v>
      </c>
      <c r="K194" s="16">
        <f>VLOOKUP(G194,'Master Kode'!$B$3:$D$13,3,0)</f>
        <v>14500</v>
      </c>
      <c r="L194" s="16">
        <f t="shared" si="7"/>
        <v>49300000</v>
      </c>
    </row>
    <row r="195" spans="2:12">
      <c r="B195" s="4" t="s">
        <v>861</v>
      </c>
      <c r="C195" s="3">
        <f t="shared" si="6"/>
        <v>45883</v>
      </c>
      <c r="D195" s="4" t="s">
        <v>604</v>
      </c>
      <c r="E195" s="1" t="s">
        <v>231</v>
      </c>
      <c r="F195" s="5" t="s">
        <v>19</v>
      </c>
      <c r="G195" s="4" t="s">
        <v>7</v>
      </c>
      <c r="H195" s="5" t="str">
        <f>VLOOKUP(G195,'Master Kode'!$B$3:$D$13,2,0)</f>
        <v>PET Clear Flakes</v>
      </c>
      <c r="I195" s="4">
        <v>2600</v>
      </c>
      <c r="J195" s="4" t="s">
        <v>9</v>
      </c>
      <c r="K195" s="16">
        <f>VLOOKUP(G195,'Master Kode'!$B$3:$D$13,3,0)</f>
        <v>12500</v>
      </c>
      <c r="L195" s="16">
        <f t="shared" si="7"/>
        <v>32500000</v>
      </c>
    </row>
    <row r="196" spans="2:12">
      <c r="B196" s="4" t="s">
        <v>862</v>
      </c>
      <c r="C196" s="3">
        <f t="shared" ref="C196:C259" si="8">DATE(2000+MID(B196,8,2),MID(B196,6,2),MID(B196,4,2))</f>
        <v>45884</v>
      </c>
      <c r="D196" s="4" t="s">
        <v>605</v>
      </c>
      <c r="E196" s="1" t="s">
        <v>232</v>
      </c>
      <c r="F196" s="5" t="s">
        <v>22</v>
      </c>
      <c r="G196" s="4" t="s">
        <v>14</v>
      </c>
      <c r="H196" s="5" t="str">
        <f>VLOOKUP(G196,'Master Kode'!$B$3:$D$13,2,0)</f>
        <v>HDPE Natural Flakes</v>
      </c>
      <c r="I196" s="4">
        <v>2300</v>
      </c>
      <c r="J196" s="4" t="s">
        <v>9</v>
      </c>
      <c r="K196" s="16">
        <f>VLOOKUP(G196,'Master Kode'!$B$3:$D$13,3,0)</f>
        <v>13500</v>
      </c>
      <c r="L196" s="16">
        <f t="shared" ref="L196:L259" si="9">K196*I196</f>
        <v>31050000</v>
      </c>
    </row>
    <row r="197" spans="2:12">
      <c r="B197" s="4" t="s">
        <v>863</v>
      </c>
      <c r="C197" s="3">
        <f t="shared" si="8"/>
        <v>45885</v>
      </c>
      <c r="D197" s="4" t="s">
        <v>606</v>
      </c>
      <c r="E197" s="1" t="s">
        <v>233</v>
      </c>
      <c r="F197" s="5" t="s">
        <v>25</v>
      </c>
      <c r="G197" s="4" t="s">
        <v>20</v>
      </c>
      <c r="H197" s="5" t="str">
        <f>VLOOKUP(G197,'Master Kode'!$B$3:$D$13,2,0)</f>
        <v>PP Injection Flakes</v>
      </c>
      <c r="I197" s="4">
        <v>2900</v>
      </c>
      <c r="J197" s="4" t="s">
        <v>9</v>
      </c>
      <c r="K197" s="16">
        <f>VLOOKUP(G197,'Master Kode'!$B$3:$D$13,3,0)</f>
        <v>11000</v>
      </c>
      <c r="L197" s="16">
        <f t="shared" si="9"/>
        <v>31900000</v>
      </c>
    </row>
    <row r="198" spans="2:12">
      <c r="B198" s="4" t="s">
        <v>864</v>
      </c>
      <c r="C198" s="3">
        <f t="shared" si="8"/>
        <v>45886</v>
      </c>
      <c r="D198" s="4" t="s">
        <v>607</v>
      </c>
      <c r="E198" s="1" t="s">
        <v>234</v>
      </c>
      <c r="F198" s="5" t="s">
        <v>6</v>
      </c>
      <c r="G198" s="4" t="s">
        <v>11</v>
      </c>
      <c r="H198" s="5" t="str">
        <f>VLOOKUP(G198,'Master Kode'!$B$3:$D$13,2,0)</f>
        <v>PET Blue Flakes</v>
      </c>
      <c r="I198" s="4">
        <v>3100</v>
      </c>
      <c r="J198" s="4" t="s">
        <v>9</v>
      </c>
      <c r="K198" s="16">
        <f>VLOOKUP(G198,'Master Kode'!$B$3:$D$13,3,0)</f>
        <v>10000</v>
      </c>
      <c r="L198" s="16">
        <f t="shared" si="9"/>
        <v>31000000</v>
      </c>
    </row>
    <row r="199" spans="2:12">
      <c r="B199" s="4" t="s">
        <v>865</v>
      </c>
      <c r="C199" s="3">
        <f t="shared" si="8"/>
        <v>45887</v>
      </c>
      <c r="D199" s="4" t="s">
        <v>608</v>
      </c>
      <c r="E199" s="1" t="s">
        <v>235</v>
      </c>
      <c r="F199" s="5" t="s">
        <v>10</v>
      </c>
      <c r="G199" s="4" t="s">
        <v>23</v>
      </c>
      <c r="H199" s="5" t="str">
        <f>VLOOKUP(G199,'Master Kode'!$B$3:$D$13,2,0)</f>
        <v>PET Green Flakes</v>
      </c>
      <c r="I199" s="4">
        <v>2750</v>
      </c>
      <c r="J199" s="4" t="s">
        <v>9</v>
      </c>
      <c r="K199" s="16">
        <f>VLOOKUP(G199,'Master Kode'!$B$3:$D$13,3,0)</f>
        <v>9000</v>
      </c>
      <c r="L199" s="16">
        <f t="shared" si="9"/>
        <v>24750000</v>
      </c>
    </row>
    <row r="200" spans="2:12">
      <c r="B200" s="4" t="s">
        <v>866</v>
      </c>
      <c r="C200" s="3">
        <f t="shared" si="8"/>
        <v>45888</v>
      </c>
      <c r="D200" s="4" t="s">
        <v>609</v>
      </c>
      <c r="E200" s="1" t="s">
        <v>236</v>
      </c>
      <c r="F200" s="5" t="s">
        <v>13</v>
      </c>
      <c r="G200" s="4" t="s">
        <v>28</v>
      </c>
      <c r="H200" s="5" t="str">
        <f>VLOOKUP(G200,'Master Kode'!$B$3:$D$13,2,0)</f>
        <v>PET Mixed Color Flakes</v>
      </c>
      <c r="I200" s="4">
        <v>2400</v>
      </c>
      <c r="J200" s="4" t="s">
        <v>9</v>
      </c>
      <c r="K200" s="16">
        <f>VLOOKUP(G200,'Master Kode'!$B$3:$D$13,3,0)</f>
        <v>8500</v>
      </c>
      <c r="L200" s="16">
        <f t="shared" si="9"/>
        <v>20400000</v>
      </c>
    </row>
    <row r="201" spans="2:12">
      <c r="B201" s="4" t="s">
        <v>867</v>
      </c>
      <c r="C201" s="3">
        <f t="shared" si="8"/>
        <v>45889</v>
      </c>
      <c r="D201" s="4" t="s">
        <v>610</v>
      </c>
      <c r="E201" s="1" t="s">
        <v>237</v>
      </c>
      <c r="F201" s="5" t="s">
        <v>16</v>
      </c>
      <c r="G201" s="4" t="s">
        <v>17</v>
      </c>
      <c r="H201" s="5" t="str">
        <f>VLOOKUP(G201,'Master Kode'!$B$3:$D$13,2,0)</f>
        <v>HDPE Mixed Color Flakes</v>
      </c>
      <c r="I201" s="4">
        <v>2000</v>
      </c>
      <c r="J201" s="4" t="s">
        <v>9</v>
      </c>
      <c r="K201" s="16">
        <f>VLOOKUP(G201,'Master Kode'!$B$3:$D$13,3,0)</f>
        <v>9500</v>
      </c>
      <c r="L201" s="16">
        <f t="shared" si="9"/>
        <v>19000000</v>
      </c>
    </row>
    <row r="202" spans="2:12">
      <c r="B202" s="4" t="s">
        <v>868</v>
      </c>
      <c r="C202" s="3">
        <f t="shared" si="8"/>
        <v>45890</v>
      </c>
      <c r="D202" s="4" t="s">
        <v>611</v>
      </c>
      <c r="E202" s="1" t="s">
        <v>238</v>
      </c>
      <c r="F202" s="5" t="s">
        <v>19</v>
      </c>
      <c r="G202" s="4" t="s">
        <v>26</v>
      </c>
      <c r="H202" s="5" t="str">
        <f>VLOOKUP(G202,'Master Kode'!$B$3:$D$13,2,0)</f>
        <v>HDPE Blue Drum Flakes</v>
      </c>
      <c r="I202" s="4">
        <v>1750</v>
      </c>
      <c r="J202" s="4" t="s">
        <v>9</v>
      </c>
      <c r="K202" s="16">
        <f>VLOOKUP(G202,'Master Kode'!$B$3:$D$13,3,0)</f>
        <v>11500</v>
      </c>
      <c r="L202" s="16">
        <f t="shared" si="9"/>
        <v>20125000</v>
      </c>
    </row>
    <row r="203" spans="2:12">
      <c r="B203" s="4" t="s">
        <v>869</v>
      </c>
      <c r="C203" s="3">
        <f t="shared" si="8"/>
        <v>45891</v>
      </c>
      <c r="D203" s="4" t="s">
        <v>612</v>
      </c>
      <c r="E203" s="1" t="s">
        <v>239</v>
      </c>
      <c r="F203" s="5" t="s">
        <v>22</v>
      </c>
      <c r="G203" s="4" t="s">
        <v>34</v>
      </c>
      <c r="H203" s="5" t="str">
        <f>VLOOKUP(G203,'Master Kode'!$B$3:$D$13,2,0)</f>
        <v>PET Hot Washed Flakes</v>
      </c>
      <c r="I203" s="4">
        <v>3550</v>
      </c>
      <c r="J203" s="4" t="s">
        <v>9</v>
      </c>
      <c r="K203" s="16">
        <f>VLOOKUP(G203,'Master Kode'!$B$3:$D$13,3,0)</f>
        <v>14500</v>
      </c>
      <c r="L203" s="16">
        <f t="shared" si="9"/>
        <v>51475000</v>
      </c>
    </row>
    <row r="204" spans="2:12">
      <c r="B204" s="4" t="s">
        <v>870</v>
      </c>
      <c r="C204" s="3">
        <f t="shared" si="8"/>
        <v>45892</v>
      </c>
      <c r="D204" s="4" t="s">
        <v>613</v>
      </c>
      <c r="E204" s="1" t="s">
        <v>240</v>
      </c>
      <c r="F204" s="5" t="s">
        <v>25</v>
      </c>
      <c r="G204" s="4" t="s">
        <v>30</v>
      </c>
      <c r="H204" s="5" t="str">
        <f>VLOOKUP(G204,'Master Kode'!$B$3:$D$13,2,0)</f>
        <v>PP White Flakes</v>
      </c>
      <c r="I204" s="4">
        <v>2650</v>
      </c>
      <c r="J204" s="4" t="s">
        <v>9</v>
      </c>
      <c r="K204" s="16">
        <f>VLOOKUP(G204,'Master Kode'!$B$3:$D$13,3,0)</f>
        <v>12000</v>
      </c>
      <c r="L204" s="16">
        <f t="shared" si="9"/>
        <v>31800000</v>
      </c>
    </row>
    <row r="205" spans="2:12">
      <c r="B205" s="4" t="s">
        <v>871</v>
      </c>
      <c r="C205" s="3">
        <f t="shared" si="8"/>
        <v>45893</v>
      </c>
      <c r="D205" s="4" t="s">
        <v>614</v>
      </c>
      <c r="E205" s="1" t="s">
        <v>241</v>
      </c>
      <c r="F205" s="5" t="s">
        <v>6</v>
      </c>
      <c r="G205" s="4" t="s">
        <v>7</v>
      </c>
      <c r="H205" s="5" t="str">
        <f>VLOOKUP(G205,'Master Kode'!$B$3:$D$13,2,0)</f>
        <v>PET Clear Flakes</v>
      </c>
      <c r="I205" s="4">
        <v>2850</v>
      </c>
      <c r="J205" s="4" t="s">
        <v>9</v>
      </c>
      <c r="K205" s="16">
        <f>VLOOKUP(G205,'Master Kode'!$B$3:$D$13,3,0)</f>
        <v>12500</v>
      </c>
      <c r="L205" s="16">
        <f t="shared" si="9"/>
        <v>35625000</v>
      </c>
    </row>
    <row r="206" spans="2:12">
      <c r="B206" s="4" t="s">
        <v>872</v>
      </c>
      <c r="C206" s="3">
        <f t="shared" si="8"/>
        <v>45894</v>
      </c>
      <c r="D206" s="4" t="s">
        <v>615</v>
      </c>
      <c r="E206" s="1" t="s">
        <v>242</v>
      </c>
      <c r="F206" s="5" t="s">
        <v>10</v>
      </c>
      <c r="G206" s="4" t="s">
        <v>32</v>
      </c>
      <c r="H206" s="5" t="str">
        <f>VLOOKUP(G206,'Master Kode'!$B$3:$D$13,2,0)</f>
        <v>HDPE Bottle Cap Flakes</v>
      </c>
      <c r="I206" s="4">
        <v>2950</v>
      </c>
      <c r="J206" s="4" t="s">
        <v>9</v>
      </c>
      <c r="K206" s="16">
        <f>VLOOKUP(G206,'Master Kode'!$B$3:$D$13,3,0)</f>
        <v>10500</v>
      </c>
      <c r="L206" s="16">
        <f t="shared" si="9"/>
        <v>30975000</v>
      </c>
    </row>
    <row r="207" spans="2:12">
      <c r="B207" s="4" t="s">
        <v>873</v>
      </c>
      <c r="C207" s="3">
        <f t="shared" si="8"/>
        <v>45895</v>
      </c>
      <c r="D207" s="4" t="s">
        <v>616</v>
      </c>
      <c r="E207" s="1" t="s">
        <v>243</v>
      </c>
      <c r="F207" s="5" t="s">
        <v>13</v>
      </c>
      <c r="G207" s="4" t="s">
        <v>14</v>
      </c>
      <c r="H207" s="5" t="str">
        <f>VLOOKUP(G207,'Master Kode'!$B$3:$D$13,2,0)</f>
        <v>HDPE Natural Flakes</v>
      </c>
      <c r="I207" s="4">
        <v>2150</v>
      </c>
      <c r="J207" s="4" t="s">
        <v>9</v>
      </c>
      <c r="K207" s="16">
        <f>VLOOKUP(G207,'Master Kode'!$B$3:$D$13,3,0)</f>
        <v>13500</v>
      </c>
      <c r="L207" s="16">
        <f t="shared" si="9"/>
        <v>29025000</v>
      </c>
    </row>
    <row r="208" spans="2:12">
      <c r="B208" s="4" t="s">
        <v>874</v>
      </c>
      <c r="C208" s="3">
        <f t="shared" si="8"/>
        <v>45896</v>
      </c>
      <c r="D208" s="4" t="s">
        <v>617</v>
      </c>
      <c r="E208" s="1" t="s">
        <v>244</v>
      </c>
      <c r="F208" s="5" t="s">
        <v>16</v>
      </c>
      <c r="G208" s="4" t="s">
        <v>23</v>
      </c>
      <c r="H208" s="5" t="str">
        <f>VLOOKUP(G208,'Master Kode'!$B$3:$D$13,2,0)</f>
        <v>PET Green Flakes</v>
      </c>
      <c r="I208" s="4">
        <v>3050</v>
      </c>
      <c r="J208" s="4" t="s">
        <v>9</v>
      </c>
      <c r="K208" s="16">
        <f>VLOOKUP(G208,'Master Kode'!$B$3:$D$13,3,0)</f>
        <v>9000</v>
      </c>
      <c r="L208" s="16">
        <f t="shared" si="9"/>
        <v>27450000</v>
      </c>
    </row>
    <row r="209" spans="2:12">
      <c r="B209" s="4" t="s">
        <v>875</v>
      </c>
      <c r="C209" s="3">
        <f t="shared" si="8"/>
        <v>45903</v>
      </c>
      <c r="D209" s="4" t="s">
        <v>618</v>
      </c>
      <c r="E209" s="1" t="s">
        <v>245</v>
      </c>
      <c r="F209" s="5" t="s">
        <v>6</v>
      </c>
      <c r="G209" s="4" t="s">
        <v>7</v>
      </c>
      <c r="H209" s="5" t="str">
        <f>VLOOKUP(G209,'Master Kode'!$B$3:$D$13,2,0)</f>
        <v>PET Clear Flakes</v>
      </c>
      <c r="I209" s="4">
        <v>2150</v>
      </c>
      <c r="J209" s="4" t="s">
        <v>9</v>
      </c>
      <c r="K209" s="16">
        <f>VLOOKUP(G209,'Master Kode'!$B$3:$D$13,3,0)</f>
        <v>12500</v>
      </c>
      <c r="L209" s="16">
        <f t="shared" si="9"/>
        <v>26875000</v>
      </c>
    </row>
    <row r="210" spans="2:12">
      <c r="B210" s="4" t="s">
        <v>876</v>
      </c>
      <c r="C210" s="3">
        <f t="shared" si="8"/>
        <v>45904</v>
      </c>
      <c r="D210" s="4" t="s">
        <v>619</v>
      </c>
      <c r="E210" s="1" t="s">
        <v>246</v>
      </c>
      <c r="F210" s="5" t="s">
        <v>10</v>
      </c>
      <c r="G210" s="4" t="s">
        <v>14</v>
      </c>
      <c r="H210" s="5" t="str">
        <f>VLOOKUP(G210,'Master Kode'!$B$3:$D$13,2,0)</f>
        <v>HDPE Natural Flakes</v>
      </c>
      <c r="I210" s="4">
        <v>3200</v>
      </c>
      <c r="J210" s="4" t="s">
        <v>9</v>
      </c>
      <c r="K210" s="16">
        <f>VLOOKUP(G210,'Master Kode'!$B$3:$D$13,3,0)</f>
        <v>13500</v>
      </c>
      <c r="L210" s="16">
        <f t="shared" si="9"/>
        <v>43200000</v>
      </c>
    </row>
    <row r="211" spans="2:12">
      <c r="B211" s="4" t="s">
        <v>877</v>
      </c>
      <c r="C211" s="3">
        <f t="shared" si="8"/>
        <v>45905</v>
      </c>
      <c r="D211" s="4" t="s">
        <v>620</v>
      </c>
      <c r="E211" s="1" t="s">
        <v>247</v>
      </c>
      <c r="F211" s="5" t="s">
        <v>13</v>
      </c>
      <c r="G211" s="4" t="s">
        <v>11</v>
      </c>
      <c r="H211" s="5" t="str">
        <f>VLOOKUP(G211,'Master Kode'!$B$3:$D$13,2,0)</f>
        <v>PET Blue Flakes</v>
      </c>
      <c r="I211" s="4">
        <v>1850</v>
      </c>
      <c r="J211" s="4" t="s">
        <v>9</v>
      </c>
      <c r="K211" s="16">
        <f>VLOOKUP(G211,'Master Kode'!$B$3:$D$13,3,0)</f>
        <v>10000</v>
      </c>
      <c r="L211" s="16">
        <f t="shared" si="9"/>
        <v>18500000</v>
      </c>
    </row>
    <row r="212" spans="2:12">
      <c r="B212" s="4" t="s">
        <v>878</v>
      </c>
      <c r="C212" s="3">
        <f t="shared" si="8"/>
        <v>45906</v>
      </c>
      <c r="D212" s="4" t="s">
        <v>621</v>
      </c>
      <c r="E212" s="1" t="s">
        <v>248</v>
      </c>
      <c r="F212" s="5" t="s">
        <v>16</v>
      </c>
      <c r="G212" s="4" t="s">
        <v>17</v>
      </c>
      <c r="H212" s="5" t="str">
        <f>VLOOKUP(G212,'Master Kode'!$B$3:$D$13,2,0)</f>
        <v>HDPE Mixed Color Flakes</v>
      </c>
      <c r="I212" s="4">
        <v>2600</v>
      </c>
      <c r="J212" s="4" t="s">
        <v>9</v>
      </c>
      <c r="K212" s="16">
        <f>VLOOKUP(G212,'Master Kode'!$B$3:$D$13,3,0)</f>
        <v>9500</v>
      </c>
      <c r="L212" s="16">
        <f t="shared" si="9"/>
        <v>24700000</v>
      </c>
    </row>
    <row r="213" spans="2:12">
      <c r="B213" s="4" t="s">
        <v>879</v>
      </c>
      <c r="C213" s="3">
        <f t="shared" si="8"/>
        <v>45907</v>
      </c>
      <c r="D213" s="4" t="s">
        <v>622</v>
      </c>
      <c r="E213" s="1" t="s">
        <v>249</v>
      </c>
      <c r="F213" s="5" t="s">
        <v>22</v>
      </c>
      <c r="G213" s="4" t="s">
        <v>23</v>
      </c>
      <c r="H213" s="5" t="str">
        <f>VLOOKUP(G213,'Master Kode'!$B$3:$D$13,2,0)</f>
        <v>PET Green Flakes</v>
      </c>
      <c r="I213" s="4">
        <v>2980</v>
      </c>
      <c r="J213" s="4" t="s">
        <v>9</v>
      </c>
      <c r="K213" s="16">
        <f>VLOOKUP(G213,'Master Kode'!$B$3:$D$13,3,0)</f>
        <v>9000</v>
      </c>
      <c r="L213" s="16">
        <f t="shared" si="9"/>
        <v>26820000</v>
      </c>
    </row>
    <row r="214" spans="2:12">
      <c r="B214" s="4" t="s">
        <v>880</v>
      </c>
      <c r="C214" s="3">
        <f t="shared" si="8"/>
        <v>45907</v>
      </c>
      <c r="D214" s="4" t="s">
        <v>623</v>
      </c>
      <c r="E214" s="1" t="s">
        <v>250</v>
      </c>
      <c r="F214" s="5" t="s">
        <v>19</v>
      </c>
      <c r="G214" s="4" t="s">
        <v>20</v>
      </c>
      <c r="H214" s="5" t="str">
        <f>VLOOKUP(G214,'Master Kode'!$B$3:$D$13,2,0)</f>
        <v>PP Injection Flakes</v>
      </c>
      <c r="I214" s="4">
        <v>3350</v>
      </c>
      <c r="J214" s="4" t="s">
        <v>9</v>
      </c>
      <c r="K214" s="16">
        <f>VLOOKUP(G214,'Master Kode'!$B$3:$D$13,3,0)</f>
        <v>11000</v>
      </c>
      <c r="L214" s="16">
        <f t="shared" si="9"/>
        <v>36850000</v>
      </c>
    </row>
    <row r="215" spans="2:12">
      <c r="B215" s="4" t="s">
        <v>881</v>
      </c>
      <c r="C215" s="3">
        <f t="shared" si="8"/>
        <v>45908</v>
      </c>
      <c r="D215" s="4" t="s">
        <v>624</v>
      </c>
      <c r="E215" s="1" t="s">
        <v>251</v>
      </c>
      <c r="F215" s="5" t="s">
        <v>25</v>
      </c>
      <c r="G215" s="4" t="s">
        <v>26</v>
      </c>
      <c r="H215" s="5" t="str">
        <f>VLOOKUP(G215,'Master Kode'!$B$3:$D$13,2,0)</f>
        <v>HDPE Blue Drum Flakes</v>
      </c>
      <c r="I215" s="4">
        <v>1740</v>
      </c>
      <c r="J215" s="4" t="s">
        <v>9</v>
      </c>
      <c r="K215" s="16">
        <f>VLOOKUP(G215,'Master Kode'!$B$3:$D$13,3,0)</f>
        <v>11500</v>
      </c>
      <c r="L215" s="16">
        <f t="shared" si="9"/>
        <v>20010000</v>
      </c>
    </row>
    <row r="216" spans="2:12">
      <c r="B216" s="4" t="s">
        <v>882</v>
      </c>
      <c r="C216" s="3">
        <f t="shared" si="8"/>
        <v>45909</v>
      </c>
      <c r="D216" s="4" t="s">
        <v>625</v>
      </c>
      <c r="E216" s="1" t="s">
        <v>252</v>
      </c>
      <c r="F216" s="5" t="s">
        <v>6</v>
      </c>
      <c r="G216" s="4" t="s">
        <v>7</v>
      </c>
      <c r="H216" s="5" t="str">
        <f>VLOOKUP(G216,'Master Kode'!$B$3:$D$13,2,0)</f>
        <v>PET Clear Flakes</v>
      </c>
      <c r="I216" s="4">
        <v>2860</v>
      </c>
      <c r="J216" s="4" t="s">
        <v>9</v>
      </c>
      <c r="K216" s="16">
        <f>VLOOKUP(G216,'Master Kode'!$B$3:$D$13,3,0)</f>
        <v>12500</v>
      </c>
      <c r="L216" s="16">
        <f t="shared" si="9"/>
        <v>35750000</v>
      </c>
    </row>
    <row r="217" spans="2:12">
      <c r="B217" s="4" t="s">
        <v>883</v>
      </c>
      <c r="C217" s="3">
        <f t="shared" si="8"/>
        <v>45910</v>
      </c>
      <c r="D217" s="4" t="s">
        <v>626</v>
      </c>
      <c r="E217" s="1" t="s">
        <v>253</v>
      </c>
      <c r="F217" s="5" t="s">
        <v>10</v>
      </c>
      <c r="G217" s="4" t="s">
        <v>28</v>
      </c>
      <c r="H217" s="5" t="str">
        <f>VLOOKUP(G217,'Master Kode'!$B$3:$D$13,2,0)</f>
        <v>PET Mixed Color Flakes</v>
      </c>
      <c r="I217" s="4">
        <v>3100</v>
      </c>
      <c r="J217" s="4" t="s">
        <v>9</v>
      </c>
      <c r="K217" s="16">
        <f>VLOOKUP(G217,'Master Kode'!$B$3:$D$13,3,0)</f>
        <v>8500</v>
      </c>
      <c r="L217" s="16">
        <f t="shared" si="9"/>
        <v>26350000</v>
      </c>
    </row>
    <row r="218" spans="2:12">
      <c r="B218" s="4" t="s">
        <v>884</v>
      </c>
      <c r="C218" s="3">
        <f t="shared" si="8"/>
        <v>45911</v>
      </c>
      <c r="D218" s="4" t="s">
        <v>627</v>
      </c>
      <c r="E218" s="1" t="s">
        <v>254</v>
      </c>
      <c r="F218" s="5" t="s">
        <v>13</v>
      </c>
      <c r="G218" s="4" t="s">
        <v>14</v>
      </c>
      <c r="H218" s="5" t="str">
        <f>VLOOKUP(G218,'Master Kode'!$B$3:$D$13,2,0)</f>
        <v>HDPE Natural Flakes</v>
      </c>
      <c r="I218" s="4">
        <v>2450</v>
      </c>
      <c r="J218" s="4" t="s">
        <v>9</v>
      </c>
      <c r="K218" s="16">
        <f>VLOOKUP(G218,'Master Kode'!$B$3:$D$13,3,0)</f>
        <v>13500</v>
      </c>
      <c r="L218" s="16">
        <f t="shared" si="9"/>
        <v>33075000</v>
      </c>
    </row>
    <row r="219" spans="2:12">
      <c r="B219" s="4" t="s">
        <v>885</v>
      </c>
      <c r="C219" s="3">
        <f t="shared" si="8"/>
        <v>45912</v>
      </c>
      <c r="D219" s="4" t="s">
        <v>628</v>
      </c>
      <c r="E219" s="1" t="s">
        <v>255</v>
      </c>
      <c r="F219" s="5" t="s">
        <v>16</v>
      </c>
      <c r="G219" s="4" t="s">
        <v>30</v>
      </c>
      <c r="H219" s="5" t="str">
        <f>VLOOKUP(G219,'Master Kode'!$B$3:$D$13,2,0)</f>
        <v>PP White Flakes</v>
      </c>
      <c r="I219" s="4">
        <v>2100</v>
      </c>
      <c r="J219" s="4" t="s">
        <v>9</v>
      </c>
      <c r="K219" s="16">
        <f>VLOOKUP(G219,'Master Kode'!$B$3:$D$13,3,0)</f>
        <v>12000</v>
      </c>
      <c r="L219" s="16">
        <f t="shared" si="9"/>
        <v>25200000</v>
      </c>
    </row>
    <row r="220" spans="2:12">
      <c r="B220" s="4" t="s">
        <v>886</v>
      </c>
      <c r="C220" s="3">
        <f t="shared" si="8"/>
        <v>45913</v>
      </c>
      <c r="D220" s="4" t="s">
        <v>629</v>
      </c>
      <c r="E220" s="1" t="s">
        <v>256</v>
      </c>
      <c r="F220" s="5" t="s">
        <v>22</v>
      </c>
      <c r="G220" s="4" t="s">
        <v>23</v>
      </c>
      <c r="H220" s="5" t="str">
        <f>VLOOKUP(G220,'Master Kode'!$B$3:$D$13,2,0)</f>
        <v>PET Green Flakes</v>
      </c>
      <c r="I220" s="4">
        <v>3750</v>
      </c>
      <c r="J220" s="4" t="s">
        <v>9</v>
      </c>
      <c r="K220" s="16">
        <f>VLOOKUP(G220,'Master Kode'!$B$3:$D$13,3,0)</f>
        <v>9000</v>
      </c>
      <c r="L220" s="16">
        <f t="shared" si="9"/>
        <v>33750000</v>
      </c>
    </row>
    <row r="221" spans="2:12">
      <c r="B221" s="4" t="s">
        <v>887</v>
      </c>
      <c r="C221" s="3">
        <f t="shared" si="8"/>
        <v>45913</v>
      </c>
      <c r="D221" s="4" t="s">
        <v>630</v>
      </c>
      <c r="E221" s="1" t="s">
        <v>257</v>
      </c>
      <c r="F221" s="5" t="s">
        <v>19</v>
      </c>
      <c r="G221" s="4" t="s">
        <v>17</v>
      </c>
      <c r="H221" s="5" t="str">
        <f>VLOOKUP(G221,'Master Kode'!$B$3:$D$13,2,0)</f>
        <v>HDPE Mixed Color Flakes</v>
      </c>
      <c r="I221" s="4">
        <v>2980</v>
      </c>
      <c r="J221" s="4" t="s">
        <v>9</v>
      </c>
      <c r="K221" s="16">
        <f>VLOOKUP(G221,'Master Kode'!$B$3:$D$13,3,0)</f>
        <v>9500</v>
      </c>
      <c r="L221" s="16">
        <f t="shared" si="9"/>
        <v>28310000</v>
      </c>
    </row>
    <row r="222" spans="2:12">
      <c r="B222" s="4" t="s">
        <v>888</v>
      </c>
      <c r="C222" s="3">
        <f t="shared" si="8"/>
        <v>45914</v>
      </c>
      <c r="D222" s="4" t="s">
        <v>631</v>
      </c>
      <c r="E222" s="1" t="s">
        <v>258</v>
      </c>
      <c r="F222" s="5" t="s">
        <v>25</v>
      </c>
      <c r="G222" s="4" t="s">
        <v>32</v>
      </c>
      <c r="H222" s="5" t="str">
        <f>VLOOKUP(G222,'Master Kode'!$B$3:$D$13,2,0)</f>
        <v>HDPE Bottle Cap Flakes</v>
      </c>
      <c r="I222" s="4">
        <v>1540</v>
      </c>
      <c r="J222" s="4" t="s">
        <v>9</v>
      </c>
      <c r="K222" s="16">
        <f>VLOOKUP(G222,'Master Kode'!$B$3:$D$13,3,0)</f>
        <v>10500</v>
      </c>
      <c r="L222" s="16">
        <f t="shared" si="9"/>
        <v>16170000</v>
      </c>
    </row>
    <row r="223" spans="2:12">
      <c r="B223" s="4" t="s">
        <v>889</v>
      </c>
      <c r="C223" s="3">
        <f t="shared" si="8"/>
        <v>45915</v>
      </c>
      <c r="D223" s="4" t="s">
        <v>632</v>
      </c>
      <c r="E223" s="1" t="s">
        <v>259</v>
      </c>
      <c r="F223" s="5" t="s">
        <v>6</v>
      </c>
      <c r="G223" s="4" t="s">
        <v>34</v>
      </c>
      <c r="H223" s="5" t="str">
        <f>VLOOKUP(G223,'Master Kode'!$B$3:$D$13,2,0)</f>
        <v>PET Hot Washed Flakes</v>
      </c>
      <c r="I223" s="4">
        <v>4050</v>
      </c>
      <c r="J223" s="4" t="s">
        <v>9</v>
      </c>
      <c r="K223" s="16">
        <f>VLOOKUP(G223,'Master Kode'!$B$3:$D$13,3,0)</f>
        <v>14500</v>
      </c>
      <c r="L223" s="16">
        <f t="shared" si="9"/>
        <v>58725000</v>
      </c>
    </row>
    <row r="224" spans="2:12">
      <c r="B224" s="4" t="s">
        <v>890</v>
      </c>
      <c r="C224" s="3">
        <f t="shared" si="8"/>
        <v>45916</v>
      </c>
      <c r="D224" s="4" t="s">
        <v>633</v>
      </c>
      <c r="E224" s="1" t="s">
        <v>260</v>
      </c>
      <c r="F224" s="5" t="s">
        <v>10</v>
      </c>
      <c r="G224" s="4" t="s">
        <v>11</v>
      </c>
      <c r="H224" s="5" t="str">
        <f>VLOOKUP(G224,'Master Kode'!$B$3:$D$13,2,0)</f>
        <v>PET Blue Flakes</v>
      </c>
      <c r="I224" s="4">
        <v>2600</v>
      </c>
      <c r="J224" s="4" t="s">
        <v>9</v>
      </c>
      <c r="K224" s="16">
        <f>VLOOKUP(G224,'Master Kode'!$B$3:$D$13,3,0)</f>
        <v>10000</v>
      </c>
      <c r="L224" s="16">
        <f t="shared" si="9"/>
        <v>26000000</v>
      </c>
    </row>
    <row r="225" spans="2:12">
      <c r="B225" s="4" t="s">
        <v>891</v>
      </c>
      <c r="C225" s="3">
        <f t="shared" si="8"/>
        <v>45917</v>
      </c>
      <c r="D225" s="4" t="s">
        <v>634</v>
      </c>
      <c r="E225" s="1" t="s">
        <v>261</v>
      </c>
      <c r="F225" s="5" t="s">
        <v>13</v>
      </c>
      <c r="G225" s="4" t="s">
        <v>20</v>
      </c>
      <c r="H225" s="5" t="str">
        <f>VLOOKUP(G225,'Master Kode'!$B$3:$D$13,2,0)</f>
        <v>PP Injection Flakes</v>
      </c>
      <c r="I225" s="4">
        <v>2300</v>
      </c>
      <c r="J225" s="4" t="s">
        <v>9</v>
      </c>
      <c r="K225" s="16">
        <f>VLOOKUP(G225,'Master Kode'!$B$3:$D$13,3,0)</f>
        <v>11000</v>
      </c>
      <c r="L225" s="16">
        <f t="shared" si="9"/>
        <v>25300000</v>
      </c>
    </row>
    <row r="226" spans="2:12">
      <c r="B226" s="4" t="s">
        <v>892</v>
      </c>
      <c r="C226" s="3">
        <f t="shared" si="8"/>
        <v>45918</v>
      </c>
      <c r="D226" s="4" t="s">
        <v>635</v>
      </c>
      <c r="E226" s="1" t="s">
        <v>262</v>
      </c>
      <c r="F226" s="5" t="s">
        <v>16</v>
      </c>
      <c r="G226" s="4" t="s">
        <v>7</v>
      </c>
      <c r="H226" s="5" t="str">
        <f>VLOOKUP(G226,'Master Kode'!$B$3:$D$13,2,0)</f>
        <v>PET Clear Flakes</v>
      </c>
      <c r="I226" s="4">
        <v>3420</v>
      </c>
      <c r="J226" s="4" t="s">
        <v>9</v>
      </c>
      <c r="K226" s="16">
        <f>VLOOKUP(G226,'Master Kode'!$B$3:$D$13,3,0)</f>
        <v>12500</v>
      </c>
      <c r="L226" s="16">
        <f t="shared" si="9"/>
        <v>42750000</v>
      </c>
    </row>
    <row r="227" spans="2:12">
      <c r="B227" s="4" t="s">
        <v>893</v>
      </c>
      <c r="C227" s="3">
        <f t="shared" si="8"/>
        <v>45919</v>
      </c>
      <c r="D227" s="4" t="s">
        <v>636</v>
      </c>
      <c r="E227" s="1" t="s">
        <v>263</v>
      </c>
      <c r="F227" s="5" t="s">
        <v>22</v>
      </c>
      <c r="G227" s="4" t="s">
        <v>23</v>
      </c>
      <c r="H227" s="5" t="str">
        <f>VLOOKUP(G227,'Master Kode'!$B$3:$D$13,2,0)</f>
        <v>PET Green Flakes</v>
      </c>
      <c r="I227" s="4">
        <v>2985</v>
      </c>
      <c r="J227" s="4" t="s">
        <v>9</v>
      </c>
      <c r="K227" s="16">
        <f>VLOOKUP(G227,'Master Kode'!$B$3:$D$13,3,0)</f>
        <v>9000</v>
      </c>
      <c r="L227" s="16">
        <f t="shared" si="9"/>
        <v>26865000</v>
      </c>
    </row>
    <row r="228" spans="2:12">
      <c r="B228" s="4" t="s">
        <v>894</v>
      </c>
      <c r="C228" s="3">
        <f t="shared" si="8"/>
        <v>45920</v>
      </c>
      <c r="D228" s="4" t="s">
        <v>637</v>
      </c>
      <c r="E228" s="1" t="s">
        <v>264</v>
      </c>
      <c r="F228" s="5" t="s">
        <v>19</v>
      </c>
      <c r="G228" s="4" t="s">
        <v>14</v>
      </c>
      <c r="H228" s="5" t="str">
        <f>VLOOKUP(G228,'Master Kode'!$B$3:$D$13,2,0)</f>
        <v>HDPE Natural Flakes</v>
      </c>
      <c r="I228" s="4">
        <v>3150</v>
      </c>
      <c r="J228" s="4" t="s">
        <v>9</v>
      </c>
      <c r="K228" s="16">
        <f>VLOOKUP(G228,'Master Kode'!$B$3:$D$13,3,0)</f>
        <v>13500</v>
      </c>
      <c r="L228" s="16">
        <f t="shared" si="9"/>
        <v>42525000</v>
      </c>
    </row>
    <row r="229" spans="2:12">
      <c r="B229" s="4" t="s">
        <v>895</v>
      </c>
      <c r="C229" s="3">
        <f t="shared" si="8"/>
        <v>45921</v>
      </c>
      <c r="D229" s="4" t="s">
        <v>638</v>
      </c>
      <c r="E229" s="1" t="s">
        <v>265</v>
      </c>
      <c r="F229" s="5" t="s">
        <v>25</v>
      </c>
      <c r="G229" s="4" t="s">
        <v>26</v>
      </c>
      <c r="H229" s="5" t="str">
        <f>VLOOKUP(G229,'Master Kode'!$B$3:$D$13,2,0)</f>
        <v>HDPE Blue Drum Flakes</v>
      </c>
      <c r="I229" s="4">
        <v>1840</v>
      </c>
      <c r="J229" s="4" t="s">
        <v>9</v>
      </c>
      <c r="K229" s="16">
        <f>VLOOKUP(G229,'Master Kode'!$B$3:$D$13,3,0)</f>
        <v>11500</v>
      </c>
      <c r="L229" s="16">
        <f t="shared" si="9"/>
        <v>21160000</v>
      </c>
    </row>
    <row r="230" spans="2:12">
      <c r="B230" s="4" t="s">
        <v>896</v>
      </c>
      <c r="C230" s="3">
        <f t="shared" si="8"/>
        <v>45922</v>
      </c>
      <c r="D230" s="4" t="s">
        <v>639</v>
      </c>
      <c r="E230" s="1" t="s">
        <v>266</v>
      </c>
      <c r="F230" s="5" t="s">
        <v>6</v>
      </c>
      <c r="G230" s="4" t="s">
        <v>34</v>
      </c>
      <c r="H230" s="5" t="str">
        <f>VLOOKUP(G230,'Master Kode'!$B$3:$D$13,2,0)</f>
        <v>PET Hot Washed Flakes</v>
      </c>
      <c r="I230" s="4">
        <v>4200</v>
      </c>
      <c r="J230" s="4" t="s">
        <v>9</v>
      </c>
      <c r="K230" s="16">
        <f>VLOOKUP(G230,'Master Kode'!$B$3:$D$13,3,0)</f>
        <v>14500</v>
      </c>
      <c r="L230" s="16">
        <f t="shared" si="9"/>
        <v>60900000</v>
      </c>
    </row>
    <row r="231" spans="2:12">
      <c r="B231" s="4" t="s">
        <v>897</v>
      </c>
      <c r="C231" s="3">
        <f t="shared" si="8"/>
        <v>45923</v>
      </c>
      <c r="D231" s="4" t="s">
        <v>640</v>
      </c>
      <c r="E231" s="1" t="s">
        <v>267</v>
      </c>
      <c r="F231" s="5" t="s">
        <v>10</v>
      </c>
      <c r="G231" s="4" t="s">
        <v>17</v>
      </c>
      <c r="H231" s="5" t="str">
        <f>VLOOKUP(G231,'Master Kode'!$B$3:$D$13,2,0)</f>
        <v>HDPE Mixed Color Flakes</v>
      </c>
      <c r="I231" s="4">
        <v>2990</v>
      </c>
      <c r="J231" s="4" t="s">
        <v>9</v>
      </c>
      <c r="K231" s="16">
        <f>VLOOKUP(G231,'Master Kode'!$B$3:$D$13,3,0)</f>
        <v>9500</v>
      </c>
      <c r="L231" s="16">
        <f t="shared" si="9"/>
        <v>28405000</v>
      </c>
    </row>
    <row r="232" spans="2:12">
      <c r="B232" s="4" t="s">
        <v>898</v>
      </c>
      <c r="C232" s="3">
        <f t="shared" si="8"/>
        <v>45924</v>
      </c>
      <c r="D232" s="4" t="s">
        <v>641</v>
      </c>
      <c r="E232" s="1" t="s">
        <v>268</v>
      </c>
      <c r="F232" s="5" t="s">
        <v>13</v>
      </c>
      <c r="G232" s="4" t="s">
        <v>30</v>
      </c>
      <c r="H232" s="5" t="str">
        <f>VLOOKUP(G232,'Master Kode'!$B$3:$D$13,2,0)</f>
        <v>PP White Flakes</v>
      </c>
      <c r="I232" s="4">
        <v>2500</v>
      </c>
      <c r="J232" s="4" t="s">
        <v>9</v>
      </c>
      <c r="K232" s="16">
        <f>VLOOKUP(G232,'Master Kode'!$B$3:$D$13,3,0)</f>
        <v>12000</v>
      </c>
      <c r="L232" s="16">
        <f t="shared" si="9"/>
        <v>30000000</v>
      </c>
    </row>
    <row r="233" spans="2:12">
      <c r="B233" s="4" t="s">
        <v>899</v>
      </c>
      <c r="C233" s="3">
        <f t="shared" si="8"/>
        <v>45925</v>
      </c>
      <c r="D233" s="4" t="s">
        <v>642</v>
      </c>
      <c r="E233" s="1" t="s">
        <v>269</v>
      </c>
      <c r="F233" s="5" t="s">
        <v>16</v>
      </c>
      <c r="G233" s="4" t="s">
        <v>11</v>
      </c>
      <c r="H233" s="5" t="str">
        <f>VLOOKUP(G233,'Master Kode'!$B$3:$D$13,2,0)</f>
        <v>PET Blue Flakes</v>
      </c>
      <c r="I233" s="4">
        <v>2680</v>
      </c>
      <c r="J233" s="4" t="s">
        <v>9</v>
      </c>
      <c r="K233" s="16">
        <f>VLOOKUP(G233,'Master Kode'!$B$3:$D$13,3,0)</f>
        <v>10000</v>
      </c>
      <c r="L233" s="16">
        <f t="shared" si="9"/>
        <v>26800000</v>
      </c>
    </row>
    <row r="234" spans="2:12">
      <c r="B234" s="4" t="s">
        <v>900</v>
      </c>
      <c r="C234" s="3">
        <f t="shared" si="8"/>
        <v>45926</v>
      </c>
      <c r="D234" s="4" t="s">
        <v>643</v>
      </c>
      <c r="E234" s="1" t="s">
        <v>270</v>
      </c>
      <c r="F234" s="5" t="s">
        <v>22</v>
      </c>
      <c r="G234" s="4" t="s">
        <v>28</v>
      </c>
      <c r="H234" s="5" t="str">
        <f>VLOOKUP(G234,'Master Kode'!$B$3:$D$13,2,0)</f>
        <v>PET Mixed Color Flakes</v>
      </c>
      <c r="I234" s="4">
        <v>3100</v>
      </c>
      <c r="J234" s="4" t="s">
        <v>9</v>
      </c>
      <c r="K234" s="16">
        <f>VLOOKUP(G234,'Master Kode'!$B$3:$D$13,3,0)</f>
        <v>8500</v>
      </c>
      <c r="L234" s="16">
        <f t="shared" si="9"/>
        <v>26350000</v>
      </c>
    </row>
    <row r="235" spans="2:12">
      <c r="B235" s="4" t="s">
        <v>901</v>
      </c>
      <c r="C235" s="3">
        <f t="shared" si="8"/>
        <v>45927</v>
      </c>
      <c r="D235" s="4" t="s">
        <v>644</v>
      </c>
      <c r="E235" s="1" t="s">
        <v>271</v>
      </c>
      <c r="F235" s="5" t="s">
        <v>19</v>
      </c>
      <c r="G235" s="4" t="s">
        <v>20</v>
      </c>
      <c r="H235" s="5" t="str">
        <f>VLOOKUP(G235,'Master Kode'!$B$3:$D$13,2,0)</f>
        <v>PP Injection Flakes</v>
      </c>
      <c r="I235" s="4">
        <v>3450</v>
      </c>
      <c r="J235" s="4" t="s">
        <v>9</v>
      </c>
      <c r="K235" s="16">
        <f>VLOOKUP(G235,'Master Kode'!$B$3:$D$13,3,0)</f>
        <v>11000</v>
      </c>
      <c r="L235" s="16">
        <f t="shared" si="9"/>
        <v>37950000</v>
      </c>
    </row>
    <row r="236" spans="2:12">
      <c r="B236" s="4" t="s">
        <v>902</v>
      </c>
      <c r="C236" s="3">
        <f t="shared" si="8"/>
        <v>45933</v>
      </c>
      <c r="D236" s="4" t="s">
        <v>645</v>
      </c>
      <c r="E236" s="1" t="s">
        <v>272</v>
      </c>
      <c r="F236" s="5" t="s">
        <v>6</v>
      </c>
      <c r="G236" s="4" t="s">
        <v>7</v>
      </c>
      <c r="H236" s="5" t="str">
        <f>VLOOKUP(G236,'Master Kode'!$B$3:$D$13,2,0)</f>
        <v>PET Clear Flakes</v>
      </c>
      <c r="I236" s="4">
        <v>2100</v>
      </c>
      <c r="J236" s="4" t="s">
        <v>9</v>
      </c>
      <c r="K236" s="16">
        <f>VLOOKUP(G236,'Master Kode'!$B$3:$D$13,3,0)</f>
        <v>12500</v>
      </c>
      <c r="L236" s="16">
        <f t="shared" si="9"/>
        <v>26250000</v>
      </c>
    </row>
    <row r="237" spans="2:12">
      <c r="B237" s="4" t="s">
        <v>903</v>
      </c>
      <c r="C237" s="3">
        <f t="shared" si="8"/>
        <v>45935</v>
      </c>
      <c r="D237" s="4" t="s">
        <v>646</v>
      </c>
      <c r="E237" s="1" t="s">
        <v>273</v>
      </c>
      <c r="F237" s="5" t="s">
        <v>10</v>
      </c>
      <c r="G237" s="4" t="s">
        <v>11</v>
      </c>
      <c r="H237" s="5" t="str">
        <f>VLOOKUP(G237,'Master Kode'!$B$3:$D$13,2,0)</f>
        <v>PET Blue Flakes</v>
      </c>
      <c r="I237" s="4">
        <v>1850</v>
      </c>
      <c r="J237" s="4" t="s">
        <v>9</v>
      </c>
      <c r="K237" s="16">
        <f>VLOOKUP(G237,'Master Kode'!$B$3:$D$13,3,0)</f>
        <v>10000</v>
      </c>
      <c r="L237" s="16">
        <f t="shared" si="9"/>
        <v>18500000</v>
      </c>
    </row>
    <row r="238" spans="2:12">
      <c r="B238" s="4" t="s">
        <v>904</v>
      </c>
      <c r="C238" s="3">
        <f t="shared" si="8"/>
        <v>45936</v>
      </c>
      <c r="D238" s="4" t="s">
        <v>647</v>
      </c>
      <c r="E238" s="1" t="s">
        <v>274</v>
      </c>
      <c r="F238" s="5" t="s">
        <v>13</v>
      </c>
      <c r="G238" s="4" t="s">
        <v>14</v>
      </c>
      <c r="H238" s="5" t="str">
        <f>VLOOKUP(G238,'Master Kode'!$B$3:$D$13,2,0)</f>
        <v>HDPE Natural Flakes</v>
      </c>
      <c r="I238" s="4">
        <v>3200</v>
      </c>
      <c r="J238" s="4" t="s">
        <v>9</v>
      </c>
      <c r="K238" s="16">
        <f>VLOOKUP(G238,'Master Kode'!$B$3:$D$13,3,0)</f>
        <v>13500</v>
      </c>
      <c r="L238" s="16">
        <f t="shared" si="9"/>
        <v>43200000</v>
      </c>
    </row>
    <row r="239" spans="2:12">
      <c r="B239" s="4" t="s">
        <v>905</v>
      </c>
      <c r="C239" s="3">
        <f t="shared" si="8"/>
        <v>45937</v>
      </c>
      <c r="D239" s="4" t="s">
        <v>648</v>
      </c>
      <c r="E239" s="1" t="s">
        <v>275</v>
      </c>
      <c r="F239" s="5" t="s">
        <v>16</v>
      </c>
      <c r="G239" s="4" t="s">
        <v>17</v>
      </c>
      <c r="H239" s="5" t="str">
        <f>VLOOKUP(G239,'Master Kode'!$B$3:$D$13,2,0)</f>
        <v>HDPE Mixed Color Flakes</v>
      </c>
      <c r="I239" s="4">
        <v>2750</v>
      </c>
      <c r="J239" s="4" t="s">
        <v>9</v>
      </c>
      <c r="K239" s="16">
        <f>VLOOKUP(G239,'Master Kode'!$B$3:$D$13,3,0)</f>
        <v>9500</v>
      </c>
      <c r="L239" s="16">
        <f t="shared" si="9"/>
        <v>26125000</v>
      </c>
    </row>
    <row r="240" spans="2:12">
      <c r="B240" s="4" t="s">
        <v>906</v>
      </c>
      <c r="C240" s="3">
        <f t="shared" si="8"/>
        <v>45938</v>
      </c>
      <c r="D240" s="4" t="s">
        <v>649</v>
      </c>
      <c r="E240" s="1" t="s">
        <v>276</v>
      </c>
      <c r="F240" s="5" t="s">
        <v>19</v>
      </c>
      <c r="G240" s="4" t="s">
        <v>20</v>
      </c>
      <c r="H240" s="5" t="str">
        <f>VLOOKUP(G240,'Master Kode'!$B$3:$D$13,2,0)</f>
        <v>PP Injection Flakes</v>
      </c>
      <c r="I240" s="4">
        <v>1980</v>
      </c>
      <c r="J240" s="4" t="s">
        <v>9</v>
      </c>
      <c r="K240" s="16">
        <f>VLOOKUP(G240,'Master Kode'!$B$3:$D$13,3,0)</f>
        <v>11000</v>
      </c>
      <c r="L240" s="16">
        <f t="shared" si="9"/>
        <v>21780000</v>
      </c>
    </row>
    <row r="241" spans="2:12">
      <c r="B241" s="4" t="s">
        <v>907</v>
      </c>
      <c r="C241" s="3">
        <f t="shared" si="8"/>
        <v>45939</v>
      </c>
      <c r="D241" s="4" t="s">
        <v>650</v>
      </c>
      <c r="E241" s="1" t="s">
        <v>277</v>
      </c>
      <c r="F241" s="5" t="s">
        <v>22</v>
      </c>
      <c r="G241" s="4" t="s">
        <v>23</v>
      </c>
      <c r="H241" s="5" t="str">
        <f>VLOOKUP(G241,'Master Kode'!$B$3:$D$13,2,0)</f>
        <v>PET Green Flakes</v>
      </c>
      <c r="I241" s="4">
        <v>3050</v>
      </c>
      <c r="J241" s="4" t="s">
        <v>9</v>
      </c>
      <c r="K241" s="16">
        <f>VLOOKUP(G241,'Master Kode'!$B$3:$D$13,3,0)</f>
        <v>9000</v>
      </c>
      <c r="L241" s="16">
        <f t="shared" si="9"/>
        <v>27450000</v>
      </c>
    </row>
    <row r="242" spans="2:12">
      <c r="B242" s="4" t="s">
        <v>908</v>
      </c>
      <c r="C242" s="3">
        <f t="shared" si="8"/>
        <v>45940</v>
      </c>
      <c r="D242" s="4" t="s">
        <v>651</v>
      </c>
      <c r="E242" s="1" t="s">
        <v>278</v>
      </c>
      <c r="F242" s="5" t="s">
        <v>25</v>
      </c>
      <c r="G242" s="4" t="s">
        <v>26</v>
      </c>
      <c r="H242" s="5" t="str">
        <f>VLOOKUP(G242,'Master Kode'!$B$3:$D$13,2,0)</f>
        <v>HDPE Blue Drum Flakes</v>
      </c>
      <c r="I242" s="4">
        <v>2240</v>
      </c>
      <c r="J242" s="4" t="s">
        <v>9</v>
      </c>
      <c r="K242" s="16">
        <f>VLOOKUP(G242,'Master Kode'!$B$3:$D$13,3,0)</f>
        <v>11500</v>
      </c>
      <c r="L242" s="16">
        <f t="shared" si="9"/>
        <v>25760000</v>
      </c>
    </row>
    <row r="243" spans="2:12">
      <c r="B243" s="4" t="s">
        <v>909</v>
      </c>
      <c r="C243" s="3">
        <f t="shared" si="8"/>
        <v>45941</v>
      </c>
      <c r="D243" s="4" t="s">
        <v>652</v>
      </c>
      <c r="E243" s="1" t="s">
        <v>279</v>
      </c>
      <c r="F243" s="5" t="s">
        <v>6</v>
      </c>
      <c r="G243" s="4" t="s">
        <v>28</v>
      </c>
      <c r="H243" s="5" t="str">
        <f>VLOOKUP(G243,'Master Kode'!$B$3:$D$13,2,0)</f>
        <v>PET Mixed Color Flakes</v>
      </c>
      <c r="I243" s="4">
        <v>2675</v>
      </c>
      <c r="J243" s="4" t="s">
        <v>9</v>
      </c>
      <c r="K243" s="16">
        <f>VLOOKUP(G243,'Master Kode'!$B$3:$D$13,3,0)</f>
        <v>8500</v>
      </c>
      <c r="L243" s="16">
        <f t="shared" si="9"/>
        <v>22737500</v>
      </c>
    </row>
    <row r="244" spans="2:12">
      <c r="B244" s="4" t="s">
        <v>910</v>
      </c>
      <c r="C244" s="3">
        <f t="shared" si="8"/>
        <v>45942</v>
      </c>
      <c r="D244" s="4" t="s">
        <v>653</v>
      </c>
      <c r="E244" s="1" t="s">
        <v>280</v>
      </c>
      <c r="F244" s="5" t="s">
        <v>10</v>
      </c>
      <c r="G244" s="4" t="s">
        <v>30</v>
      </c>
      <c r="H244" s="5" t="str">
        <f>VLOOKUP(G244,'Master Kode'!$B$3:$D$13,2,0)</f>
        <v>PP White Flakes</v>
      </c>
      <c r="I244" s="4">
        <v>2890</v>
      </c>
      <c r="J244" s="4" t="s">
        <v>9</v>
      </c>
      <c r="K244" s="16">
        <f>VLOOKUP(G244,'Master Kode'!$B$3:$D$13,3,0)</f>
        <v>12000</v>
      </c>
      <c r="L244" s="16">
        <f t="shared" si="9"/>
        <v>34680000</v>
      </c>
    </row>
    <row r="245" spans="2:12">
      <c r="B245" s="4" t="s">
        <v>911</v>
      </c>
      <c r="C245" s="3">
        <f t="shared" si="8"/>
        <v>45943</v>
      </c>
      <c r="D245" s="4" t="s">
        <v>654</v>
      </c>
      <c r="E245" s="1" t="s">
        <v>281</v>
      </c>
      <c r="F245" s="5" t="s">
        <v>13</v>
      </c>
      <c r="G245" s="4" t="s">
        <v>32</v>
      </c>
      <c r="H245" s="5" t="str">
        <f>VLOOKUP(G245,'Master Kode'!$B$3:$D$13,2,0)</f>
        <v>HDPE Bottle Cap Flakes</v>
      </c>
      <c r="I245" s="4">
        <v>1760</v>
      </c>
      <c r="J245" s="4" t="s">
        <v>9</v>
      </c>
      <c r="K245" s="16">
        <f>VLOOKUP(G245,'Master Kode'!$B$3:$D$13,3,0)</f>
        <v>10500</v>
      </c>
      <c r="L245" s="16">
        <f t="shared" si="9"/>
        <v>18480000</v>
      </c>
    </row>
    <row r="246" spans="2:12">
      <c r="B246" s="4" t="s">
        <v>912</v>
      </c>
      <c r="C246" s="3">
        <f t="shared" si="8"/>
        <v>45944</v>
      </c>
      <c r="D246" s="4" t="s">
        <v>655</v>
      </c>
      <c r="E246" s="1" t="s">
        <v>282</v>
      </c>
      <c r="F246" s="5" t="s">
        <v>16</v>
      </c>
      <c r="G246" s="4" t="s">
        <v>34</v>
      </c>
      <c r="H246" s="5" t="str">
        <f>VLOOKUP(G246,'Master Kode'!$B$3:$D$13,2,0)</f>
        <v>PET Hot Washed Flakes</v>
      </c>
      <c r="I246" s="4">
        <v>3500</v>
      </c>
      <c r="J246" s="4" t="s">
        <v>9</v>
      </c>
      <c r="K246" s="16">
        <f>VLOOKUP(G246,'Master Kode'!$B$3:$D$13,3,0)</f>
        <v>14500</v>
      </c>
      <c r="L246" s="16">
        <f t="shared" si="9"/>
        <v>50750000</v>
      </c>
    </row>
    <row r="247" spans="2:12">
      <c r="B247" s="4" t="s">
        <v>913</v>
      </c>
      <c r="C247" s="3">
        <f t="shared" si="8"/>
        <v>45945</v>
      </c>
      <c r="D247" s="4" t="s">
        <v>656</v>
      </c>
      <c r="E247" s="1" t="s">
        <v>283</v>
      </c>
      <c r="F247" s="5" t="s">
        <v>19</v>
      </c>
      <c r="G247" s="4" t="s">
        <v>7</v>
      </c>
      <c r="H247" s="5" t="str">
        <f>VLOOKUP(G247,'Master Kode'!$B$3:$D$13,2,0)</f>
        <v>PET Clear Flakes</v>
      </c>
      <c r="I247" s="4">
        <v>2600</v>
      </c>
      <c r="J247" s="4" t="s">
        <v>9</v>
      </c>
      <c r="K247" s="16">
        <f>VLOOKUP(G247,'Master Kode'!$B$3:$D$13,3,0)</f>
        <v>12500</v>
      </c>
      <c r="L247" s="16">
        <f t="shared" si="9"/>
        <v>32500000</v>
      </c>
    </row>
    <row r="248" spans="2:12">
      <c r="B248" s="4" t="s">
        <v>914</v>
      </c>
      <c r="C248" s="3">
        <f t="shared" si="8"/>
        <v>45946</v>
      </c>
      <c r="D248" s="4" t="s">
        <v>657</v>
      </c>
      <c r="E248" s="1" t="s">
        <v>284</v>
      </c>
      <c r="F248" s="5" t="s">
        <v>22</v>
      </c>
      <c r="G248" s="4" t="s">
        <v>11</v>
      </c>
      <c r="H248" s="5" t="str">
        <f>VLOOKUP(G248,'Master Kode'!$B$3:$D$13,2,0)</f>
        <v>PET Blue Flakes</v>
      </c>
      <c r="I248" s="4">
        <v>2400</v>
      </c>
      <c r="J248" s="4" t="s">
        <v>9</v>
      </c>
      <c r="K248" s="16">
        <f>VLOOKUP(G248,'Master Kode'!$B$3:$D$13,3,0)</f>
        <v>10000</v>
      </c>
      <c r="L248" s="16">
        <f t="shared" si="9"/>
        <v>24000000</v>
      </c>
    </row>
    <row r="249" spans="2:12">
      <c r="B249" s="4" t="s">
        <v>915</v>
      </c>
      <c r="C249" s="3">
        <f t="shared" si="8"/>
        <v>45947</v>
      </c>
      <c r="D249" s="4" t="s">
        <v>658</v>
      </c>
      <c r="E249" s="1" t="s">
        <v>285</v>
      </c>
      <c r="F249" s="5" t="s">
        <v>25</v>
      </c>
      <c r="G249" s="4" t="s">
        <v>14</v>
      </c>
      <c r="H249" s="5" t="str">
        <f>VLOOKUP(G249,'Master Kode'!$B$3:$D$13,2,0)</f>
        <v>HDPE Natural Flakes</v>
      </c>
      <c r="I249" s="4">
        <v>3150</v>
      </c>
      <c r="J249" s="4" t="s">
        <v>9</v>
      </c>
      <c r="K249" s="16">
        <f>VLOOKUP(G249,'Master Kode'!$B$3:$D$13,3,0)</f>
        <v>13500</v>
      </c>
      <c r="L249" s="16">
        <f t="shared" si="9"/>
        <v>42525000</v>
      </c>
    </row>
    <row r="250" spans="2:12">
      <c r="B250" s="4" t="s">
        <v>916</v>
      </c>
      <c r="C250" s="3">
        <f t="shared" si="8"/>
        <v>45948</v>
      </c>
      <c r="D250" s="4" t="s">
        <v>659</v>
      </c>
      <c r="E250" s="1" t="s">
        <v>286</v>
      </c>
      <c r="F250" s="5" t="s">
        <v>6</v>
      </c>
      <c r="G250" s="4" t="s">
        <v>17</v>
      </c>
      <c r="H250" s="5" t="str">
        <f>VLOOKUP(G250,'Master Kode'!$B$3:$D$13,2,0)</f>
        <v>HDPE Mixed Color Flakes</v>
      </c>
      <c r="I250" s="4">
        <v>2210</v>
      </c>
      <c r="J250" s="4" t="s">
        <v>9</v>
      </c>
      <c r="K250" s="16">
        <f>VLOOKUP(G250,'Master Kode'!$B$3:$D$13,3,0)</f>
        <v>9500</v>
      </c>
      <c r="L250" s="16">
        <f t="shared" si="9"/>
        <v>20995000</v>
      </c>
    </row>
    <row r="251" spans="2:12">
      <c r="B251" s="4" t="s">
        <v>917</v>
      </c>
      <c r="C251" s="3">
        <f t="shared" si="8"/>
        <v>45949</v>
      </c>
      <c r="D251" s="4" t="s">
        <v>660</v>
      </c>
      <c r="E251" s="1" t="s">
        <v>287</v>
      </c>
      <c r="F251" s="5" t="s">
        <v>10</v>
      </c>
      <c r="G251" s="4" t="s">
        <v>20</v>
      </c>
      <c r="H251" s="5" t="str">
        <f>VLOOKUP(G251,'Master Kode'!$B$3:$D$13,2,0)</f>
        <v>PP Injection Flakes</v>
      </c>
      <c r="I251" s="4">
        <v>2750</v>
      </c>
      <c r="J251" s="4" t="s">
        <v>9</v>
      </c>
      <c r="K251" s="16">
        <f>VLOOKUP(G251,'Master Kode'!$B$3:$D$13,3,0)</f>
        <v>11000</v>
      </c>
      <c r="L251" s="16">
        <f t="shared" si="9"/>
        <v>30250000</v>
      </c>
    </row>
    <row r="252" spans="2:12">
      <c r="B252" s="4" t="s">
        <v>918</v>
      </c>
      <c r="C252" s="3">
        <f t="shared" si="8"/>
        <v>45950</v>
      </c>
      <c r="D252" s="4" t="s">
        <v>661</v>
      </c>
      <c r="E252" s="1" t="s">
        <v>288</v>
      </c>
      <c r="F252" s="5" t="s">
        <v>13</v>
      </c>
      <c r="G252" s="4" t="s">
        <v>23</v>
      </c>
      <c r="H252" s="5" t="str">
        <f>VLOOKUP(G252,'Master Kode'!$B$3:$D$13,2,0)</f>
        <v>PET Green Flakes</v>
      </c>
      <c r="I252" s="4">
        <v>2330</v>
      </c>
      <c r="J252" s="4" t="s">
        <v>9</v>
      </c>
      <c r="K252" s="16">
        <f>VLOOKUP(G252,'Master Kode'!$B$3:$D$13,3,0)</f>
        <v>9000</v>
      </c>
      <c r="L252" s="16">
        <f t="shared" si="9"/>
        <v>20970000</v>
      </c>
    </row>
    <row r="253" spans="2:12">
      <c r="B253" s="4" t="s">
        <v>919</v>
      </c>
      <c r="C253" s="3">
        <f t="shared" si="8"/>
        <v>45951</v>
      </c>
      <c r="D253" s="4" t="s">
        <v>662</v>
      </c>
      <c r="E253" s="1" t="s">
        <v>289</v>
      </c>
      <c r="F253" s="5" t="s">
        <v>16</v>
      </c>
      <c r="G253" s="4" t="s">
        <v>26</v>
      </c>
      <c r="H253" s="5" t="str">
        <f>VLOOKUP(G253,'Master Kode'!$B$3:$D$13,2,0)</f>
        <v>HDPE Blue Drum Flakes</v>
      </c>
      <c r="I253" s="4">
        <v>2980</v>
      </c>
      <c r="J253" s="4" t="s">
        <v>9</v>
      </c>
      <c r="K253" s="16">
        <f>VLOOKUP(G253,'Master Kode'!$B$3:$D$13,3,0)</f>
        <v>11500</v>
      </c>
      <c r="L253" s="16">
        <f t="shared" si="9"/>
        <v>34270000</v>
      </c>
    </row>
    <row r="254" spans="2:12">
      <c r="B254" s="4" t="s">
        <v>920</v>
      </c>
      <c r="C254" s="3">
        <f t="shared" si="8"/>
        <v>45952</v>
      </c>
      <c r="D254" s="4" t="s">
        <v>663</v>
      </c>
      <c r="E254" s="1" t="s">
        <v>290</v>
      </c>
      <c r="F254" s="5" t="s">
        <v>19</v>
      </c>
      <c r="G254" s="4" t="s">
        <v>28</v>
      </c>
      <c r="H254" s="5" t="str">
        <f>VLOOKUP(G254,'Master Kode'!$B$3:$D$13,2,0)</f>
        <v>PET Mixed Color Flakes</v>
      </c>
      <c r="I254" s="4">
        <v>1880</v>
      </c>
      <c r="J254" s="4" t="s">
        <v>9</v>
      </c>
      <c r="K254" s="16">
        <f>VLOOKUP(G254,'Master Kode'!$B$3:$D$13,3,0)</f>
        <v>8500</v>
      </c>
      <c r="L254" s="16">
        <f t="shared" si="9"/>
        <v>15980000</v>
      </c>
    </row>
    <row r="255" spans="2:12">
      <c r="B255" s="4" t="s">
        <v>921</v>
      </c>
      <c r="C255" s="3">
        <f t="shared" si="8"/>
        <v>45953</v>
      </c>
      <c r="D255" s="4" t="s">
        <v>664</v>
      </c>
      <c r="E255" s="1" t="s">
        <v>291</v>
      </c>
      <c r="F255" s="5" t="s">
        <v>22</v>
      </c>
      <c r="G255" s="4" t="s">
        <v>30</v>
      </c>
      <c r="H255" s="5" t="str">
        <f>VLOOKUP(G255,'Master Kode'!$B$3:$D$13,2,0)</f>
        <v>PP White Flakes</v>
      </c>
      <c r="I255" s="4">
        <v>3200</v>
      </c>
      <c r="J255" s="4" t="s">
        <v>9</v>
      </c>
      <c r="K255" s="16">
        <f>VLOOKUP(G255,'Master Kode'!$B$3:$D$13,3,0)</f>
        <v>12000</v>
      </c>
      <c r="L255" s="16">
        <f t="shared" si="9"/>
        <v>38400000</v>
      </c>
    </row>
    <row r="256" spans="2:12">
      <c r="B256" s="4" t="s">
        <v>922</v>
      </c>
      <c r="C256" s="3">
        <f t="shared" si="8"/>
        <v>45954</v>
      </c>
      <c r="D256" s="4" t="s">
        <v>665</v>
      </c>
      <c r="E256" s="1" t="s">
        <v>292</v>
      </c>
      <c r="F256" s="5" t="s">
        <v>25</v>
      </c>
      <c r="G256" s="4" t="s">
        <v>32</v>
      </c>
      <c r="H256" s="5" t="str">
        <f>VLOOKUP(G256,'Master Kode'!$B$3:$D$13,2,0)</f>
        <v>HDPE Bottle Cap Flakes</v>
      </c>
      <c r="I256" s="4">
        <v>2450</v>
      </c>
      <c r="J256" s="4" t="s">
        <v>9</v>
      </c>
      <c r="K256" s="16">
        <f>VLOOKUP(G256,'Master Kode'!$B$3:$D$13,3,0)</f>
        <v>10500</v>
      </c>
      <c r="L256" s="16">
        <f t="shared" si="9"/>
        <v>25725000</v>
      </c>
    </row>
    <row r="257" spans="2:12">
      <c r="B257" s="4" t="s">
        <v>923</v>
      </c>
      <c r="C257" s="3">
        <f t="shared" si="8"/>
        <v>45955</v>
      </c>
      <c r="D257" s="4" t="s">
        <v>666</v>
      </c>
      <c r="E257" s="1" t="s">
        <v>293</v>
      </c>
      <c r="F257" s="5" t="s">
        <v>6</v>
      </c>
      <c r="G257" s="4" t="s">
        <v>34</v>
      </c>
      <c r="H257" s="5" t="str">
        <f>VLOOKUP(G257,'Master Kode'!$B$3:$D$13,2,0)</f>
        <v>PET Hot Washed Flakes</v>
      </c>
      <c r="I257" s="4">
        <v>3560</v>
      </c>
      <c r="J257" s="4" t="s">
        <v>9</v>
      </c>
      <c r="K257" s="16">
        <f>VLOOKUP(G257,'Master Kode'!$B$3:$D$13,3,0)</f>
        <v>14500</v>
      </c>
      <c r="L257" s="16">
        <f t="shared" si="9"/>
        <v>51620000</v>
      </c>
    </row>
    <row r="258" spans="2:12">
      <c r="B258" s="4" t="s">
        <v>924</v>
      </c>
      <c r="C258" s="3">
        <f t="shared" si="8"/>
        <v>45956</v>
      </c>
      <c r="D258" s="4" t="s">
        <v>667</v>
      </c>
      <c r="E258" s="1" t="s">
        <v>294</v>
      </c>
      <c r="F258" s="5" t="s">
        <v>10</v>
      </c>
      <c r="G258" s="4" t="s">
        <v>7</v>
      </c>
      <c r="H258" s="5" t="str">
        <f>VLOOKUP(G258,'Master Kode'!$B$3:$D$13,2,0)</f>
        <v>PET Clear Flakes</v>
      </c>
      <c r="I258" s="4">
        <v>2070</v>
      </c>
      <c r="J258" s="4" t="s">
        <v>9</v>
      </c>
      <c r="K258" s="16">
        <f>VLOOKUP(G258,'Master Kode'!$B$3:$D$13,3,0)</f>
        <v>12500</v>
      </c>
      <c r="L258" s="16">
        <f t="shared" si="9"/>
        <v>25875000</v>
      </c>
    </row>
    <row r="259" spans="2:12">
      <c r="B259" s="4" t="s">
        <v>925</v>
      </c>
      <c r="C259" s="3">
        <f t="shared" si="8"/>
        <v>45957</v>
      </c>
      <c r="D259" s="4" t="s">
        <v>668</v>
      </c>
      <c r="E259" s="1" t="s">
        <v>295</v>
      </c>
      <c r="F259" s="5" t="s">
        <v>13</v>
      </c>
      <c r="G259" s="4" t="s">
        <v>11</v>
      </c>
      <c r="H259" s="5" t="str">
        <f>VLOOKUP(G259,'Master Kode'!$B$3:$D$13,2,0)</f>
        <v>PET Blue Flakes</v>
      </c>
      <c r="I259" s="4">
        <v>2940</v>
      </c>
      <c r="J259" s="4" t="s">
        <v>9</v>
      </c>
      <c r="K259" s="16">
        <f>VLOOKUP(G259,'Master Kode'!$B$3:$D$13,3,0)</f>
        <v>10000</v>
      </c>
      <c r="L259" s="16">
        <f t="shared" si="9"/>
        <v>29400000</v>
      </c>
    </row>
    <row r="260" spans="2:12">
      <c r="B260" s="4" t="s">
        <v>926</v>
      </c>
      <c r="C260" s="3">
        <f t="shared" ref="C260:C313" si="10">DATE(2000+MID(B260,8,2),MID(B260,6,2),MID(B260,4,2))</f>
        <v>45958</v>
      </c>
      <c r="D260" s="4" t="s">
        <v>669</v>
      </c>
      <c r="E260" s="1" t="s">
        <v>296</v>
      </c>
      <c r="F260" s="5" t="s">
        <v>16</v>
      </c>
      <c r="G260" s="4" t="s">
        <v>14</v>
      </c>
      <c r="H260" s="5" t="str">
        <f>VLOOKUP(G260,'Master Kode'!$B$3:$D$13,2,0)</f>
        <v>HDPE Natural Flakes</v>
      </c>
      <c r="I260" s="4">
        <v>3100</v>
      </c>
      <c r="J260" s="4" t="s">
        <v>9</v>
      </c>
      <c r="K260" s="16">
        <f>VLOOKUP(G260,'Master Kode'!$B$3:$D$13,3,0)</f>
        <v>13500</v>
      </c>
      <c r="L260" s="16">
        <f t="shared" ref="L260:L313" si="11">K260*I260</f>
        <v>41850000</v>
      </c>
    </row>
    <row r="261" spans="2:12">
      <c r="B261" s="4" t="s">
        <v>927</v>
      </c>
      <c r="C261" s="3">
        <f t="shared" si="10"/>
        <v>45964</v>
      </c>
      <c r="D261" s="4" t="s">
        <v>670</v>
      </c>
      <c r="E261" s="1" t="s">
        <v>297</v>
      </c>
      <c r="F261" s="5" t="s">
        <v>6</v>
      </c>
      <c r="G261" s="4" t="s">
        <v>7</v>
      </c>
      <c r="H261" s="5" t="str">
        <f>VLOOKUP(G261,'Master Kode'!$B$3:$D$13,2,0)</f>
        <v>PET Clear Flakes</v>
      </c>
      <c r="I261" s="4">
        <v>2150</v>
      </c>
      <c r="J261" s="4" t="s">
        <v>9</v>
      </c>
      <c r="K261" s="16">
        <f>VLOOKUP(G261,'Master Kode'!$B$3:$D$13,3,0)</f>
        <v>12500</v>
      </c>
      <c r="L261" s="16">
        <f t="shared" si="11"/>
        <v>26875000</v>
      </c>
    </row>
    <row r="262" spans="2:12">
      <c r="B262" s="4" t="s">
        <v>928</v>
      </c>
      <c r="C262" s="3">
        <f t="shared" si="10"/>
        <v>45965</v>
      </c>
      <c r="D262" s="4" t="s">
        <v>671</v>
      </c>
      <c r="E262" s="1" t="s">
        <v>298</v>
      </c>
      <c r="F262" s="5" t="s">
        <v>10</v>
      </c>
      <c r="G262" s="4" t="s">
        <v>14</v>
      </c>
      <c r="H262" s="5" t="str">
        <f>VLOOKUP(G262,'Master Kode'!$B$3:$D$13,2,0)</f>
        <v>HDPE Natural Flakes</v>
      </c>
      <c r="I262" s="4">
        <v>1850</v>
      </c>
      <c r="J262" s="4" t="s">
        <v>9</v>
      </c>
      <c r="K262" s="16">
        <f>VLOOKUP(G262,'Master Kode'!$B$3:$D$13,3,0)</f>
        <v>13500</v>
      </c>
      <c r="L262" s="16">
        <f t="shared" si="11"/>
        <v>24975000</v>
      </c>
    </row>
    <row r="263" spans="2:12">
      <c r="B263" s="4" t="s">
        <v>929</v>
      </c>
      <c r="C263" s="3">
        <f t="shared" si="10"/>
        <v>45965</v>
      </c>
      <c r="D263" s="4" t="s">
        <v>672</v>
      </c>
      <c r="E263" s="1" t="s">
        <v>299</v>
      </c>
      <c r="F263" s="5" t="s">
        <v>16</v>
      </c>
      <c r="G263" s="4" t="s">
        <v>23</v>
      </c>
      <c r="H263" s="5" t="str">
        <f>VLOOKUP(G263,'Master Kode'!$B$3:$D$13,2,0)</f>
        <v>PET Green Flakes</v>
      </c>
      <c r="I263" s="4">
        <v>3020</v>
      </c>
      <c r="J263" s="4" t="s">
        <v>9</v>
      </c>
      <c r="K263" s="16">
        <f>VLOOKUP(G263,'Master Kode'!$B$3:$D$13,3,0)</f>
        <v>9000</v>
      </c>
      <c r="L263" s="16">
        <f t="shared" si="11"/>
        <v>27180000</v>
      </c>
    </row>
    <row r="264" spans="2:12">
      <c r="B264" s="4" t="s">
        <v>930</v>
      </c>
      <c r="C264" s="3">
        <f t="shared" si="10"/>
        <v>45966</v>
      </c>
      <c r="D264" s="4" t="s">
        <v>673</v>
      </c>
      <c r="E264" s="1" t="s">
        <v>300</v>
      </c>
      <c r="F264" s="5" t="s">
        <v>19</v>
      </c>
      <c r="G264" s="4" t="s">
        <v>17</v>
      </c>
      <c r="H264" s="5" t="str">
        <f>VLOOKUP(G264,'Master Kode'!$B$3:$D$13,2,0)</f>
        <v>HDPE Mixed Color Flakes</v>
      </c>
      <c r="I264" s="4">
        <v>1750</v>
      </c>
      <c r="J264" s="4" t="s">
        <v>9</v>
      </c>
      <c r="K264" s="16">
        <f>VLOOKUP(G264,'Master Kode'!$B$3:$D$13,3,0)</f>
        <v>9500</v>
      </c>
      <c r="L264" s="16">
        <f t="shared" si="11"/>
        <v>16625000</v>
      </c>
    </row>
    <row r="265" spans="2:12">
      <c r="B265" s="4" t="s">
        <v>931</v>
      </c>
      <c r="C265" s="3">
        <f t="shared" si="10"/>
        <v>45966</v>
      </c>
      <c r="D265" s="4" t="s">
        <v>674</v>
      </c>
      <c r="E265" s="1" t="s">
        <v>301</v>
      </c>
      <c r="F265" s="5" t="s">
        <v>22</v>
      </c>
      <c r="G265" s="4" t="s">
        <v>11</v>
      </c>
      <c r="H265" s="5" t="str">
        <f>VLOOKUP(G265,'Master Kode'!$B$3:$D$13,2,0)</f>
        <v>PET Blue Flakes</v>
      </c>
      <c r="I265" s="4">
        <v>2640</v>
      </c>
      <c r="J265" s="4" t="s">
        <v>9</v>
      </c>
      <c r="K265" s="16">
        <f>VLOOKUP(G265,'Master Kode'!$B$3:$D$13,3,0)</f>
        <v>10000</v>
      </c>
      <c r="L265" s="16">
        <f t="shared" si="11"/>
        <v>26400000</v>
      </c>
    </row>
    <row r="266" spans="2:12">
      <c r="B266" s="4" t="s">
        <v>932</v>
      </c>
      <c r="C266" s="3">
        <f t="shared" si="10"/>
        <v>45967</v>
      </c>
      <c r="D266" s="4" t="s">
        <v>675</v>
      </c>
      <c r="E266" s="1" t="s">
        <v>302</v>
      </c>
      <c r="F266" s="5" t="s">
        <v>13</v>
      </c>
      <c r="G266" s="4" t="s">
        <v>20</v>
      </c>
      <c r="H266" s="5" t="str">
        <f>VLOOKUP(G266,'Master Kode'!$B$3:$D$13,2,0)</f>
        <v>PP Injection Flakes</v>
      </c>
      <c r="I266" s="4">
        <v>3200</v>
      </c>
      <c r="J266" s="4" t="s">
        <v>9</v>
      </c>
      <c r="K266" s="16">
        <f>VLOOKUP(G266,'Master Kode'!$B$3:$D$13,3,0)</f>
        <v>11000</v>
      </c>
      <c r="L266" s="16">
        <f t="shared" si="11"/>
        <v>35200000</v>
      </c>
    </row>
    <row r="267" spans="2:12">
      <c r="B267" s="4" t="s">
        <v>933</v>
      </c>
      <c r="C267" s="3">
        <f t="shared" si="10"/>
        <v>45967</v>
      </c>
      <c r="D267" s="4" t="s">
        <v>676</v>
      </c>
      <c r="E267" s="1" t="s">
        <v>303</v>
      </c>
      <c r="F267" s="5" t="s">
        <v>25</v>
      </c>
      <c r="G267" s="4" t="s">
        <v>26</v>
      </c>
      <c r="H267" s="5" t="str">
        <f>VLOOKUP(G267,'Master Kode'!$B$3:$D$13,2,0)</f>
        <v>HDPE Blue Drum Flakes</v>
      </c>
      <c r="I267" s="4">
        <v>1450</v>
      </c>
      <c r="J267" s="4" t="s">
        <v>9</v>
      </c>
      <c r="K267" s="16">
        <f>VLOOKUP(G267,'Master Kode'!$B$3:$D$13,3,0)</f>
        <v>11500</v>
      </c>
      <c r="L267" s="16">
        <f t="shared" si="11"/>
        <v>16675000</v>
      </c>
    </row>
    <row r="268" spans="2:12">
      <c r="B268" s="4" t="s">
        <v>934</v>
      </c>
      <c r="C268" s="3">
        <f t="shared" si="10"/>
        <v>45968</v>
      </c>
      <c r="D268" s="4" t="s">
        <v>677</v>
      </c>
      <c r="E268" s="1" t="s">
        <v>304</v>
      </c>
      <c r="F268" s="5" t="s">
        <v>10</v>
      </c>
      <c r="G268" s="4" t="s">
        <v>28</v>
      </c>
      <c r="H268" s="5" t="str">
        <f>VLOOKUP(G268,'Master Kode'!$B$3:$D$13,2,0)</f>
        <v>PET Mixed Color Flakes</v>
      </c>
      <c r="I268" s="4">
        <v>2860</v>
      </c>
      <c r="J268" s="4" t="s">
        <v>9</v>
      </c>
      <c r="K268" s="16">
        <f>VLOOKUP(G268,'Master Kode'!$B$3:$D$13,3,0)</f>
        <v>8500</v>
      </c>
      <c r="L268" s="16">
        <f t="shared" si="11"/>
        <v>24310000</v>
      </c>
    </row>
    <row r="269" spans="2:12">
      <c r="B269" s="4" t="s">
        <v>935</v>
      </c>
      <c r="C269" s="3">
        <f t="shared" si="10"/>
        <v>45968</v>
      </c>
      <c r="D269" s="4" t="s">
        <v>678</v>
      </c>
      <c r="E269" s="1" t="s">
        <v>305</v>
      </c>
      <c r="F269" s="5" t="s">
        <v>6</v>
      </c>
      <c r="G269" s="4" t="s">
        <v>7</v>
      </c>
      <c r="H269" s="5" t="str">
        <f>VLOOKUP(G269,'Master Kode'!$B$3:$D$13,2,0)</f>
        <v>PET Clear Flakes</v>
      </c>
      <c r="I269" s="4">
        <v>1950</v>
      </c>
      <c r="J269" s="4" t="s">
        <v>9</v>
      </c>
      <c r="K269" s="16">
        <f>VLOOKUP(G269,'Master Kode'!$B$3:$D$13,3,0)</f>
        <v>12500</v>
      </c>
      <c r="L269" s="16">
        <f t="shared" si="11"/>
        <v>24375000</v>
      </c>
    </row>
    <row r="270" spans="2:12">
      <c r="B270" s="4" t="s">
        <v>936</v>
      </c>
      <c r="C270" s="3">
        <f t="shared" si="10"/>
        <v>45969</v>
      </c>
      <c r="D270" s="4" t="s">
        <v>679</v>
      </c>
      <c r="E270" s="1" t="s">
        <v>306</v>
      </c>
      <c r="F270" s="5" t="s">
        <v>19</v>
      </c>
      <c r="G270" s="4" t="s">
        <v>30</v>
      </c>
      <c r="H270" s="5" t="str">
        <f>VLOOKUP(G270,'Master Kode'!$B$3:$D$13,2,0)</f>
        <v>PP White Flakes</v>
      </c>
      <c r="I270" s="4">
        <v>2410</v>
      </c>
      <c r="J270" s="4" t="s">
        <v>9</v>
      </c>
      <c r="K270" s="16">
        <f>VLOOKUP(G270,'Master Kode'!$B$3:$D$13,3,0)</f>
        <v>12000</v>
      </c>
      <c r="L270" s="16">
        <f t="shared" si="11"/>
        <v>28920000</v>
      </c>
    </row>
    <row r="271" spans="2:12">
      <c r="B271" s="4" t="s">
        <v>937</v>
      </c>
      <c r="C271" s="3">
        <f t="shared" si="10"/>
        <v>45970</v>
      </c>
      <c r="D271" s="4" t="s">
        <v>680</v>
      </c>
      <c r="E271" s="1" t="s">
        <v>307</v>
      </c>
      <c r="F271" s="5" t="s">
        <v>22</v>
      </c>
      <c r="G271" s="4" t="s">
        <v>34</v>
      </c>
      <c r="H271" s="5" t="str">
        <f>VLOOKUP(G271,'Master Kode'!$B$3:$D$13,2,0)</f>
        <v>PET Hot Washed Flakes</v>
      </c>
      <c r="I271" s="4">
        <v>3560</v>
      </c>
      <c r="J271" s="4" t="s">
        <v>9</v>
      </c>
      <c r="K271" s="16">
        <f>VLOOKUP(G271,'Master Kode'!$B$3:$D$13,3,0)</f>
        <v>14500</v>
      </c>
      <c r="L271" s="16">
        <f t="shared" si="11"/>
        <v>51620000</v>
      </c>
    </row>
    <row r="272" spans="2:12">
      <c r="B272" s="4" t="s">
        <v>938</v>
      </c>
      <c r="C272" s="3">
        <f t="shared" si="10"/>
        <v>45971</v>
      </c>
      <c r="D272" s="4" t="s">
        <v>681</v>
      </c>
      <c r="E272" s="1" t="s">
        <v>308</v>
      </c>
      <c r="F272" s="5" t="s">
        <v>16</v>
      </c>
      <c r="G272" s="4" t="s">
        <v>17</v>
      </c>
      <c r="H272" s="5" t="str">
        <f>VLOOKUP(G272,'Master Kode'!$B$3:$D$13,2,0)</f>
        <v>HDPE Mixed Color Flakes</v>
      </c>
      <c r="I272" s="4">
        <v>2980</v>
      </c>
      <c r="J272" s="4" t="s">
        <v>9</v>
      </c>
      <c r="K272" s="16">
        <f>VLOOKUP(G272,'Master Kode'!$B$3:$D$13,3,0)</f>
        <v>9500</v>
      </c>
      <c r="L272" s="16">
        <f t="shared" si="11"/>
        <v>28310000</v>
      </c>
    </row>
    <row r="273" spans="2:12">
      <c r="B273" s="4" t="s">
        <v>939</v>
      </c>
      <c r="C273" s="3">
        <f t="shared" si="10"/>
        <v>45972</v>
      </c>
      <c r="D273" s="4" t="s">
        <v>682</v>
      </c>
      <c r="E273" s="1" t="s">
        <v>309</v>
      </c>
      <c r="F273" s="5" t="s">
        <v>13</v>
      </c>
      <c r="G273" s="4" t="s">
        <v>14</v>
      </c>
      <c r="H273" s="5" t="str">
        <f>VLOOKUP(G273,'Master Kode'!$B$3:$D$13,2,0)</f>
        <v>HDPE Natural Flakes</v>
      </c>
      <c r="I273" s="4">
        <v>2100</v>
      </c>
      <c r="J273" s="4" t="s">
        <v>9</v>
      </c>
      <c r="K273" s="16">
        <f>VLOOKUP(G273,'Master Kode'!$B$3:$D$13,3,0)</f>
        <v>13500</v>
      </c>
      <c r="L273" s="16">
        <f t="shared" si="11"/>
        <v>28350000</v>
      </c>
    </row>
    <row r="274" spans="2:12">
      <c r="B274" s="4" t="s">
        <v>940</v>
      </c>
      <c r="C274" s="3">
        <f t="shared" si="10"/>
        <v>45973</v>
      </c>
      <c r="D274" s="4" t="s">
        <v>683</v>
      </c>
      <c r="E274" s="1" t="s">
        <v>310</v>
      </c>
      <c r="F274" s="5" t="s">
        <v>10</v>
      </c>
      <c r="G274" s="4" t="s">
        <v>11</v>
      </c>
      <c r="H274" s="5" t="str">
        <f>VLOOKUP(G274,'Master Kode'!$B$3:$D$13,2,0)</f>
        <v>PET Blue Flakes</v>
      </c>
      <c r="I274" s="4">
        <v>3300</v>
      </c>
      <c r="J274" s="4" t="s">
        <v>9</v>
      </c>
      <c r="K274" s="16">
        <f>VLOOKUP(G274,'Master Kode'!$B$3:$D$13,3,0)</f>
        <v>10000</v>
      </c>
      <c r="L274" s="16">
        <f t="shared" si="11"/>
        <v>33000000</v>
      </c>
    </row>
    <row r="275" spans="2:12">
      <c r="B275" s="4" t="s">
        <v>941</v>
      </c>
      <c r="C275" s="3">
        <f t="shared" si="10"/>
        <v>45974</v>
      </c>
      <c r="D275" s="4" t="s">
        <v>684</v>
      </c>
      <c r="E275" s="1" t="s">
        <v>311</v>
      </c>
      <c r="F275" s="5" t="s">
        <v>19</v>
      </c>
      <c r="G275" s="4" t="s">
        <v>23</v>
      </c>
      <c r="H275" s="5" t="str">
        <f>VLOOKUP(G275,'Master Kode'!$B$3:$D$13,2,0)</f>
        <v>PET Green Flakes</v>
      </c>
      <c r="I275" s="4">
        <v>1840</v>
      </c>
      <c r="J275" s="4" t="s">
        <v>9</v>
      </c>
      <c r="K275" s="16">
        <f>VLOOKUP(G275,'Master Kode'!$B$3:$D$13,3,0)</f>
        <v>9000</v>
      </c>
      <c r="L275" s="16">
        <f t="shared" si="11"/>
        <v>16560000</v>
      </c>
    </row>
    <row r="276" spans="2:12">
      <c r="B276" s="4" t="s">
        <v>942</v>
      </c>
      <c r="C276" s="3">
        <f t="shared" si="10"/>
        <v>45975</v>
      </c>
      <c r="D276" s="4" t="s">
        <v>685</v>
      </c>
      <c r="E276" s="1" t="s">
        <v>312</v>
      </c>
      <c r="F276" s="5" t="s">
        <v>25</v>
      </c>
      <c r="G276" s="4" t="s">
        <v>26</v>
      </c>
      <c r="H276" s="5" t="str">
        <f>VLOOKUP(G276,'Master Kode'!$B$3:$D$13,2,0)</f>
        <v>HDPE Blue Drum Flakes</v>
      </c>
      <c r="I276" s="4">
        <v>1560</v>
      </c>
      <c r="J276" s="4" t="s">
        <v>9</v>
      </c>
      <c r="K276" s="16">
        <f>VLOOKUP(G276,'Master Kode'!$B$3:$D$13,3,0)</f>
        <v>11500</v>
      </c>
      <c r="L276" s="16">
        <f t="shared" si="11"/>
        <v>17940000</v>
      </c>
    </row>
    <row r="277" spans="2:12">
      <c r="B277" s="4" t="s">
        <v>943</v>
      </c>
      <c r="C277" s="3">
        <f t="shared" si="10"/>
        <v>45976</v>
      </c>
      <c r="D277" s="4" t="s">
        <v>686</v>
      </c>
      <c r="E277" s="1" t="s">
        <v>313</v>
      </c>
      <c r="F277" s="5" t="s">
        <v>22</v>
      </c>
      <c r="G277" s="4" t="s">
        <v>20</v>
      </c>
      <c r="H277" s="5" t="str">
        <f>VLOOKUP(G277,'Master Kode'!$B$3:$D$13,2,0)</f>
        <v>PP Injection Flakes</v>
      </c>
      <c r="I277" s="4">
        <v>2890</v>
      </c>
      <c r="J277" s="4" t="s">
        <v>9</v>
      </c>
      <c r="K277" s="16">
        <f>VLOOKUP(G277,'Master Kode'!$B$3:$D$13,3,0)</f>
        <v>11000</v>
      </c>
      <c r="L277" s="16">
        <f t="shared" si="11"/>
        <v>31790000</v>
      </c>
    </row>
    <row r="278" spans="2:12">
      <c r="B278" s="4" t="s">
        <v>944</v>
      </c>
      <c r="C278" s="3">
        <f t="shared" si="10"/>
        <v>45977</v>
      </c>
      <c r="D278" s="4" t="s">
        <v>687</v>
      </c>
      <c r="E278" s="1" t="s">
        <v>314</v>
      </c>
      <c r="F278" s="5" t="s">
        <v>16</v>
      </c>
      <c r="G278" s="4" t="s">
        <v>34</v>
      </c>
      <c r="H278" s="5" t="str">
        <f>VLOOKUP(G278,'Master Kode'!$B$3:$D$13,2,0)</f>
        <v>PET Hot Washed Flakes</v>
      </c>
      <c r="I278" s="4">
        <v>3620</v>
      </c>
      <c r="J278" s="4" t="s">
        <v>9</v>
      </c>
      <c r="K278" s="16">
        <f>VLOOKUP(G278,'Master Kode'!$B$3:$D$13,3,0)</f>
        <v>14500</v>
      </c>
      <c r="L278" s="16">
        <f t="shared" si="11"/>
        <v>52490000</v>
      </c>
    </row>
    <row r="279" spans="2:12">
      <c r="B279" s="4" t="s">
        <v>945</v>
      </c>
      <c r="C279" s="3">
        <f t="shared" si="10"/>
        <v>45978</v>
      </c>
      <c r="D279" s="4" t="s">
        <v>688</v>
      </c>
      <c r="E279" s="1" t="s">
        <v>315</v>
      </c>
      <c r="F279" s="5" t="s">
        <v>6</v>
      </c>
      <c r="G279" s="4" t="s">
        <v>7</v>
      </c>
      <c r="H279" s="5" t="str">
        <f>VLOOKUP(G279,'Master Kode'!$B$3:$D$13,2,0)</f>
        <v>PET Clear Flakes</v>
      </c>
      <c r="I279" s="4">
        <v>2740</v>
      </c>
      <c r="J279" s="4" t="s">
        <v>9</v>
      </c>
      <c r="K279" s="16">
        <f>VLOOKUP(G279,'Master Kode'!$B$3:$D$13,3,0)</f>
        <v>12500</v>
      </c>
      <c r="L279" s="16">
        <f t="shared" si="11"/>
        <v>34250000</v>
      </c>
    </row>
    <row r="280" spans="2:12">
      <c r="B280" s="4" t="s">
        <v>946</v>
      </c>
      <c r="C280" s="3">
        <f t="shared" si="10"/>
        <v>45979</v>
      </c>
      <c r="D280" s="4" t="s">
        <v>689</v>
      </c>
      <c r="E280" s="1" t="s">
        <v>316</v>
      </c>
      <c r="F280" s="5" t="s">
        <v>13</v>
      </c>
      <c r="G280" s="4" t="s">
        <v>17</v>
      </c>
      <c r="H280" s="5" t="str">
        <f>VLOOKUP(G280,'Master Kode'!$B$3:$D$13,2,0)</f>
        <v>HDPE Mixed Color Flakes</v>
      </c>
      <c r="I280" s="4">
        <v>1990</v>
      </c>
      <c r="J280" s="4" t="s">
        <v>9</v>
      </c>
      <c r="K280" s="16">
        <f>VLOOKUP(G280,'Master Kode'!$B$3:$D$13,3,0)</f>
        <v>9500</v>
      </c>
      <c r="L280" s="16">
        <f t="shared" si="11"/>
        <v>18905000</v>
      </c>
    </row>
    <row r="281" spans="2:12">
      <c r="B281" s="4" t="s">
        <v>947</v>
      </c>
      <c r="C281" s="3">
        <f t="shared" si="10"/>
        <v>45980</v>
      </c>
      <c r="D281" s="4" t="s">
        <v>690</v>
      </c>
      <c r="E281" s="1" t="s">
        <v>317</v>
      </c>
      <c r="F281" s="5" t="s">
        <v>10</v>
      </c>
      <c r="G281" s="4" t="s">
        <v>28</v>
      </c>
      <c r="H281" s="5" t="str">
        <f>VLOOKUP(G281,'Master Kode'!$B$3:$D$13,2,0)</f>
        <v>PET Mixed Color Flakes</v>
      </c>
      <c r="I281" s="4">
        <v>3050</v>
      </c>
      <c r="J281" s="4" t="s">
        <v>9</v>
      </c>
      <c r="K281" s="16">
        <f>VLOOKUP(G281,'Master Kode'!$B$3:$D$13,3,0)</f>
        <v>8500</v>
      </c>
      <c r="L281" s="16">
        <f t="shared" si="11"/>
        <v>25925000</v>
      </c>
    </row>
    <row r="282" spans="2:12">
      <c r="B282" s="4" t="s">
        <v>948</v>
      </c>
      <c r="C282" s="3">
        <f t="shared" si="10"/>
        <v>45981</v>
      </c>
      <c r="D282" s="4" t="s">
        <v>691</v>
      </c>
      <c r="E282" s="1" t="s">
        <v>318</v>
      </c>
      <c r="F282" s="5" t="s">
        <v>19</v>
      </c>
      <c r="G282" s="4" t="s">
        <v>14</v>
      </c>
      <c r="H282" s="5" t="str">
        <f>VLOOKUP(G282,'Master Kode'!$B$3:$D$13,2,0)</f>
        <v>HDPE Natural Flakes</v>
      </c>
      <c r="I282" s="4">
        <v>2480</v>
      </c>
      <c r="J282" s="4" t="s">
        <v>9</v>
      </c>
      <c r="K282" s="16">
        <f>VLOOKUP(G282,'Master Kode'!$B$3:$D$13,3,0)</f>
        <v>13500</v>
      </c>
      <c r="L282" s="16">
        <f t="shared" si="11"/>
        <v>33480000</v>
      </c>
    </row>
    <row r="283" spans="2:12">
      <c r="B283" s="4" t="s">
        <v>949</v>
      </c>
      <c r="C283" s="3">
        <f t="shared" si="10"/>
        <v>45982</v>
      </c>
      <c r="D283" s="4" t="s">
        <v>692</v>
      </c>
      <c r="E283" s="1" t="s">
        <v>319</v>
      </c>
      <c r="F283" s="5" t="s">
        <v>25</v>
      </c>
      <c r="G283" s="4" t="s">
        <v>32</v>
      </c>
      <c r="H283" s="5" t="str">
        <f>VLOOKUP(G283,'Master Kode'!$B$3:$D$13,2,0)</f>
        <v>HDPE Bottle Cap Flakes</v>
      </c>
      <c r="I283" s="4">
        <v>1670</v>
      </c>
      <c r="J283" s="4" t="s">
        <v>9</v>
      </c>
      <c r="K283" s="16">
        <f>VLOOKUP(G283,'Master Kode'!$B$3:$D$13,3,0)</f>
        <v>10500</v>
      </c>
      <c r="L283" s="16">
        <f t="shared" si="11"/>
        <v>17535000</v>
      </c>
    </row>
    <row r="284" spans="2:12">
      <c r="B284" s="4" t="s">
        <v>950</v>
      </c>
      <c r="C284" s="3">
        <f t="shared" si="10"/>
        <v>45983</v>
      </c>
      <c r="D284" s="4" t="s">
        <v>693</v>
      </c>
      <c r="E284" s="1" t="s">
        <v>320</v>
      </c>
      <c r="F284" s="5" t="s">
        <v>22</v>
      </c>
      <c r="G284" s="4" t="s">
        <v>30</v>
      </c>
      <c r="H284" s="5" t="str">
        <f>VLOOKUP(G284,'Master Kode'!$B$3:$D$13,2,0)</f>
        <v>PP White Flakes</v>
      </c>
      <c r="I284" s="4">
        <v>2230</v>
      </c>
      <c r="J284" s="4" t="s">
        <v>9</v>
      </c>
      <c r="K284" s="16">
        <f>VLOOKUP(G284,'Master Kode'!$B$3:$D$13,3,0)</f>
        <v>12000</v>
      </c>
      <c r="L284" s="16">
        <f t="shared" si="11"/>
        <v>26760000</v>
      </c>
    </row>
    <row r="285" spans="2:12">
      <c r="B285" s="4" t="s">
        <v>951</v>
      </c>
      <c r="C285" s="3">
        <f t="shared" si="10"/>
        <v>45984</v>
      </c>
      <c r="D285" s="4" t="s">
        <v>694</v>
      </c>
      <c r="E285" s="1" t="s">
        <v>321</v>
      </c>
      <c r="F285" s="5" t="s">
        <v>16</v>
      </c>
      <c r="G285" s="4" t="s">
        <v>23</v>
      </c>
      <c r="H285" s="5" t="str">
        <f>VLOOKUP(G285,'Master Kode'!$B$3:$D$13,2,0)</f>
        <v>PET Green Flakes</v>
      </c>
      <c r="I285" s="4">
        <v>2870</v>
      </c>
      <c r="J285" s="4" t="s">
        <v>9</v>
      </c>
      <c r="K285" s="16">
        <f>VLOOKUP(G285,'Master Kode'!$B$3:$D$13,3,0)</f>
        <v>9000</v>
      </c>
      <c r="L285" s="16">
        <f t="shared" si="11"/>
        <v>25830000</v>
      </c>
    </row>
    <row r="286" spans="2:12">
      <c r="B286" s="4" t="s">
        <v>952</v>
      </c>
      <c r="C286" s="3">
        <f t="shared" si="10"/>
        <v>45985</v>
      </c>
      <c r="D286" s="4" t="s">
        <v>695</v>
      </c>
      <c r="E286" s="1" t="s">
        <v>322</v>
      </c>
      <c r="F286" s="5" t="s">
        <v>13</v>
      </c>
      <c r="G286" s="4" t="s">
        <v>7</v>
      </c>
      <c r="H286" s="5" t="str">
        <f>VLOOKUP(G286,'Master Kode'!$B$3:$D$13,2,0)</f>
        <v>PET Clear Flakes</v>
      </c>
      <c r="I286" s="4">
        <v>3120</v>
      </c>
      <c r="J286" s="4" t="s">
        <v>9</v>
      </c>
      <c r="K286" s="16">
        <f>VLOOKUP(G286,'Master Kode'!$B$3:$D$13,3,0)</f>
        <v>12500</v>
      </c>
      <c r="L286" s="16">
        <f t="shared" si="11"/>
        <v>39000000</v>
      </c>
    </row>
    <row r="287" spans="2:12">
      <c r="B287" s="4" t="s">
        <v>953</v>
      </c>
      <c r="C287" s="3">
        <f t="shared" si="10"/>
        <v>45994</v>
      </c>
      <c r="D287" s="4" t="s">
        <v>696</v>
      </c>
      <c r="E287" s="1" t="s">
        <v>323</v>
      </c>
      <c r="F287" s="5" t="s">
        <v>6</v>
      </c>
      <c r="G287" s="4" t="s">
        <v>7</v>
      </c>
      <c r="H287" s="5" t="str">
        <f>VLOOKUP(G287,'Master Kode'!$B$3:$D$13,2,0)</f>
        <v>PET Clear Flakes</v>
      </c>
      <c r="I287" s="4">
        <v>1850</v>
      </c>
      <c r="J287" s="4" t="s">
        <v>9</v>
      </c>
      <c r="K287" s="16">
        <f>VLOOKUP(G287,'Master Kode'!$B$3:$D$13,3,0)</f>
        <v>12500</v>
      </c>
      <c r="L287" s="16">
        <f t="shared" si="11"/>
        <v>23125000</v>
      </c>
    </row>
    <row r="288" spans="2:12">
      <c r="B288" s="4" t="s">
        <v>954</v>
      </c>
      <c r="C288" s="3">
        <f t="shared" si="10"/>
        <v>45995</v>
      </c>
      <c r="D288" s="4" t="s">
        <v>697</v>
      </c>
      <c r="E288" s="1" t="s">
        <v>324</v>
      </c>
      <c r="F288" s="5" t="s">
        <v>10</v>
      </c>
      <c r="G288" s="4" t="s">
        <v>11</v>
      </c>
      <c r="H288" s="5" t="str">
        <f>VLOOKUP(G288,'Master Kode'!$B$3:$D$13,2,0)</f>
        <v>PET Blue Flakes</v>
      </c>
      <c r="I288" s="4">
        <v>2950</v>
      </c>
      <c r="J288" s="4" t="s">
        <v>9</v>
      </c>
      <c r="K288" s="16">
        <f>VLOOKUP(G288,'Master Kode'!$B$3:$D$13,3,0)</f>
        <v>10000</v>
      </c>
      <c r="L288" s="16">
        <f t="shared" si="11"/>
        <v>29500000</v>
      </c>
    </row>
    <row r="289" spans="2:12">
      <c r="B289" s="4" t="s">
        <v>955</v>
      </c>
      <c r="C289" s="3">
        <f t="shared" si="10"/>
        <v>45995</v>
      </c>
      <c r="D289" s="4" t="s">
        <v>698</v>
      </c>
      <c r="E289" s="1" t="s">
        <v>325</v>
      </c>
      <c r="F289" s="5" t="s">
        <v>13</v>
      </c>
      <c r="G289" s="4" t="s">
        <v>14</v>
      </c>
      <c r="H289" s="5" t="str">
        <f>VLOOKUP(G289,'Master Kode'!$B$3:$D$13,2,0)</f>
        <v>HDPE Natural Flakes</v>
      </c>
      <c r="I289" s="4">
        <v>2100</v>
      </c>
      <c r="J289" s="4" t="s">
        <v>9</v>
      </c>
      <c r="K289" s="16">
        <f>VLOOKUP(G289,'Master Kode'!$B$3:$D$13,3,0)</f>
        <v>13500</v>
      </c>
      <c r="L289" s="16">
        <f t="shared" si="11"/>
        <v>28350000</v>
      </c>
    </row>
    <row r="290" spans="2:12">
      <c r="B290" s="4" t="s">
        <v>956</v>
      </c>
      <c r="C290" s="3">
        <f t="shared" si="10"/>
        <v>45996</v>
      </c>
      <c r="D290" s="4" t="s">
        <v>699</v>
      </c>
      <c r="E290" s="1" t="s">
        <v>326</v>
      </c>
      <c r="F290" s="5" t="s">
        <v>16</v>
      </c>
      <c r="G290" s="4" t="s">
        <v>17</v>
      </c>
      <c r="H290" s="5" t="str">
        <f>VLOOKUP(G290,'Master Kode'!$B$3:$D$13,2,0)</f>
        <v>HDPE Mixed Color Flakes</v>
      </c>
      <c r="I290" s="4">
        <v>1740</v>
      </c>
      <c r="J290" s="4" t="s">
        <v>9</v>
      </c>
      <c r="K290" s="16">
        <f>VLOOKUP(G290,'Master Kode'!$B$3:$D$13,3,0)</f>
        <v>9500</v>
      </c>
      <c r="L290" s="16">
        <f t="shared" si="11"/>
        <v>16530000</v>
      </c>
    </row>
    <row r="291" spans="2:12">
      <c r="B291" s="4" t="s">
        <v>957</v>
      </c>
      <c r="C291" s="3">
        <f t="shared" si="10"/>
        <v>45996</v>
      </c>
      <c r="D291" s="4" t="s">
        <v>700</v>
      </c>
      <c r="E291" s="1" t="s">
        <v>327</v>
      </c>
      <c r="F291" s="5" t="s">
        <v>19</v>
      </c>
      <c r="G291" s="4" t="s">
        <v>20</v>
      </c>
      <c r="H291" s="5" t="str">
        <f>VLOOKUP(G291,'Master Kode'!$B$3:$D$13,2,0)</f>
        <v>PP Injection Flakes</v>
      </c>
      <c r="I291" s="4">
        <v>2600</v>
      </c>
      <c r="J291" s="4" t="s">
        <v>9</v>
      </c>
      <c r="K291" s="16">
        <f>VLOOKUP(G291,'Master Kode'!$B$3:$D$13,3,0)</f>
        <v>11000</v>
      </c>
      <c r="L291" s="16">
        <f t="shared" si="11"/>
        <v>28600000</v>
      </c>
    </row>
    <row r="292" spans="2:12">
      <c r="B292" s="4" t="s">
        <v>958</v>
      </c>
      <c r="C292" s="3">
        <f t="shared" si="10"/>
        <v>45997</v>
      </c>
      <c r="D292" s="4" t="s">
        <v>701</v>
      </c>
      <c r="E292" s="1" t="s">
        <v>328</v>
      </c>
      <c r="F292" s="5" t="s">
        <v>22</v>
      </c>
      <c r="G292" s="4" t="s">
        <v>23</v>
      </c>
      <c r="H292" s="5" t="str">
        <f>VLOOKUP(G292,'Master Kode'!$B$3:$D$13,2,0)</f>
        <v>PET Green Flakes</v>
      </c>
      <c r="I292" s="4">
        <v>3250</v>
      </c>
      <c r="J292" s="4" t="s">
        <v>9</v>
      </c>
      <c r="K292" s="16">
        <f>VLOOKUP(G292,'Master Kode'!$B$3:$D$13,3,0)</f>
        <v>9000</v>
      </c>
      <c r="L292" s="16">
        <f t="shared" si="11"/>
        <v>29250000</v>
      </c>
    </row>
    <row r="293" spans="2:12">
      <c r="B293" s="4" t="s">
        <v>959</v>
      </c>
      <c r="C293" s="3">
        <f t="shared" si="10"/>
        <v>45997</v>
      </c>
      <c r="D293" s="4" t="s">
        <v>702</v>
      </c>
      <c r="E293" s="1" t="s">
        <v>329</v>
      </c>
      <c r="F293" s="5" t="s">
        <v>25</v>
      </c>
      <c r="G293" s="4" t="s">
        <v>26</v>
      </c>
      <c r="H293" s="5" t="str">
        <f>VLOOKUP(G293,'Master Kode'!$B$3:$D$13,2,0)</f>
        <v>HDPE Blue Drum Flakes</v>
      </c>
      <c r="I293" s="4">
        <v>1480</v>
      </c>
      <c r="J293" s="4" t="s">
        <v>9</v>
      </c>
      <c r="K293" s="16">
        <f>VLOOKUP(G293,'Master Kode'!$B$3:$D$13,3,0)</f>
        <v>11500</v>
      </c>
      <c r="L293" s="16">
        <f t="shared" si="11"/>
        <v>17020000</v>
      </c>
    </row>
    <row r="294" spans="2:12">
      <c r="B294" s="4" t="s">
        <v>960</v>
      </c>
      <c r="C294" s="3">
        <f t="shared" si="10"/>
        <v>45998</v>
      </c>
      <c r="D294" s="4" t="s">
        <v>703</v>
      </c>
      <c r="E294" s="1" t="s">
        <v>330</v>
      </c>
      <c r="F294" s="5" t="s">
        <v>6</v>
      </c>
      <c r="G294" s="4" t="s">
        <v>28</v>
      </c>
      <c r="H294" s="5" t="str">
        <f>VLOOKUP(G294,'Master Kode'!$B$3:$D$13,2,0)</f>
        <v>PET Mixed Color Flakes</v>
      </c>
      <c r="I294" s="4">
        <v>2100</v>
      </c>
      <c r="J294" s="4" t="s">
        <v>9</v>
      </c>
      <c r="K294" s="16">
        <f>VLOOKUP(G294,'Master Kode'!$B$3:$D$13,3,0)</f>
        <v>8500</v>
      </c>
      <c r="L294" s="16">
        <f t="shared" si="11"/>
        <v>17850000</v>
      </c>
    </row>
    <row r="295" spans="2:12">
      <c r="B295" s="4" t="s">
        <v>961</v>
      </c>
      <c r="C295" s="3">
        <f t="shared" si="10"/>
        <v>45998</v>
      </c>
      <c r="D295" s="4" t="s">
        <v>704</v>
      </c>
      <c r="E295" s="1" t="s">
        <v>331</v>
      </c>
      <c r="F295" s="5" t="s">
        <v>10</v>
      </c>
      <c r="G295" s="4" t="s">
        <v>7</v>
      </c>
      <c r="H295" s="5" t="str">
        <f>VLOOKUP(G295,'Master Kode'!$B$3:$D$13,2,0)</f>
        <v>PET Clear Flakes</v>
      </c>
      <c r="I295" s="4">
        <v>3320</v>
      </c>
      <c r="J295" s="4" t="s">
        <v>9</v>
      </c>
      <c r="K295" s="16">
        <f>VLOOKUP(G295,'Master Kode'!$B$3:$D$13,3,0)</f>
        <v>12500</v>
      </c>
      <c r="L295" s="16">
        <f t="shared" si="11"/>
        <v>41500000</v>
      </c>
    </row>
    <row r="296" spans="2:12">
      <c r="B296" s="4" t="s">
        <v>962</v>
      </c>
      <c r="C296" s="3">
        <f t="shared" si="10"/>
        <v>45999</v>
      </c>
      <c r="D296" s="4" t="s">
        <v>705</v>
      </c>
      <c r="E296" s="1" t="s">
        <v>332</v>
      </c>
      <c r="F296" s="5" t="s">
        <v>13</v>
      </c>
      <c r="G296" s="4" t="s">
        <v>30</v>
      </c>
      <c r="H296" s="5" t="str">
        <f>VLOOKUP(G296,'Master Kode'!$B$3:$D$13,2,0)</f>
        <v>PP White Flakes</v>
      </c>
      <c r="I296" s="4">
        <v>2550</v>
      </c>
      <c r="J296" s="4" t="s">
        <v>9</v>
      </c>
      <c r="K296" s="16">
        <f>VLOOKUP(G296,'Master Kode'!$B$3:$D$13,3,0)</f>
        <v>12000</v>
      </c>
      <c r="L296" s="16">
        <f t="shared" si="11"/>
        <v>30600000</v>
      </c>
    </row>
    <row r="297" spans="2:12">
      <c r="B297" s="4" t="s">
        <v>963</v>
      </c>
      <c r="C297" s="3">
        <f t="shared" si="10"/>
        <v>45999</v>
      </c>
      <c r="D297" s="4" t="s">
        <v>706</v>
      </c>
      <c r="E297" s="1" t="s">
        <v>333</v>
      </c>
      <c r="F297" s="5" t="s">
        <v>16</v>
      </c>
      <c r="G297" s="4" t="s">
        <v>17</v>
      </c>
      <c r="H297" s="5" t="str">
        <f>VLOOKUP(G297,'Master Kode'!$B$3:$D$13,2,0)</f>
        <v>HDPE Mixed Color Flakes</v>
      </c>
      <c r="I297" s="4">
        <v>3780</v>
      </c>
      <c r="J297" s="4" t="s">
        <v>9</v>
      </c>
      <c r="K297" s="16">
        <f>VLOOKUP(G297,'Master Kode'!$B$3:$D$13,3,0)</f>
        <v>9500</v>
      </c>
      <c r="L297" s="16">
        <f t="shared" si="11"/>
        <v>35910000</v>
      </c>
    </row>
    <row r="298" spans="2:12">
      <c r="B298" s="4" t="s">
        <v>964</v>
      </c>
      <c r="C298" s="3">
        <f t="shared" si="10"/>
        <v>46000</v>
      </c>
      <c r="D298" s="4" t="s">
        <v>707</v>
      </c>
      <c r="E298" s="1" t="s">
        <v>334</v>
      </c>
      <c r="F298" s="5" t="s">
        <v>19</v>
      </c>
      <c r="G298" s="4" t="s">
        <v>34</v>
      </c>
      <c r="H298" s="5" t="str">
        <f>VLOOKUP(G298,'Master Kode'!$B$3:$D$13,2,0)</f>
        <v>PET Hot Washed Flakes</v>
      </c>
      <c r="I298" s="4">
        <v>3150</v>
      </c>
      <c r="J298" s="4" t="s">
        <v>9</v>
      </c>
      <c r="K298" s="16">
        <f>VLOOKUP(G298,'Master Kode'!$B$3:$D$13,3,0)</f>
        <v>14500</v>
      </c>
      <c r="L298" s="16">
        <f t="shared" si="11"/>
        <v>45675000</v>
      </c>
    </row>
    <row r="299" spans="2:12">
      <c r="B299" s="4" t="s">
        <v>965</v>
      </c>
      <c r="C299" s="3">
        <f t="shared" si="10"/>
        <v>46000</v>
      </c>
      <c r="D299" s="4" t="s">
        <v>708</v>
      </c>
      <c r="E299" s="1" t="s">
        <v>335</v>
      </c>
      <c r="F299" s="5" t="s">
        <v>22</v>
      </c>
      <c r="G299" s="4" t="s">
        <v>11</v>
      </c>
      <c r="H299" s="5" t="str">
        <f>VLOOKUP(G299,'Master Kode'!$B$3:$D$13,2,0)</f>
        <v>PET Blue Flakes</v>
      </c>
      <c r="I299" s="4">
        <v>2890</v>
      </c>
      <c r="J299" s="4" t="s">
        <v>9</v>
      </c>
      <c r="K299" s="16">
        <f>VLOOKUP(G299,'Master Kode'!$B$3:$D$13,3,0)</f>
        <v>10000</v>
      </c>
      <c r="L299" s="16">
        <f t="shared" si="11"/>
        <v>28900000</v>
      </c>
    </row>
    <row r="300" spans="2:12">
      <c r="B300" s="4" t="s">
        <v>966</v>
      </c>
      <c r="C300" s="3">
        <f t="shared" si="10"/>
        <v>46001</v>
      </c>
      <c r="D300" s="4" t="s">
        <v>709</v>
      </c>
      <c r="E300" s="1" t="s">
        <v>336</v>
      </c>
      <c r="F300" s="5" t="s">
        <v>25</v>
      </c>
      <c r="G300" s="4" t="s">
        <v>14</v>
      </c>
      <c r="H300" s="5" t="str">
        <f>VLOOKUP(G300,'Master Kode'!$B$3:$D$13,2,0)</f>
        <v>HDPE Natural Flakes</v>
      </c>
      <c r="I300" s="4">
        <v>1940</v>
      </c>
      <c r="J300" s="4" t="s">
        <v>9</v>
      </c>
      <c r="K300" s="16">
        <f>VLOOKUP(G300,'Master Kode'!$B$3:$D$13,3,0)</f>
        <v>13500</v>
      </c>
      <c r="L300" s="16">
        <f t="shared" si="11"/>
        <v>26190000</v>
      </c>
    </row>
    <row r="301" spans="2:12">
      <c r="B301" s="4" t="s">
        <v>967</v>
      </c>
      <c r="C301" s="3">
        <f t="shared" si="10"/>
        <v>46002</v>
      </c>
      <c r="D301" s="4" t="s">
        <v>710</v>
      </c>
      <c r="E301" s="1" t="s">
        <v>337</v>
      </c>
      <c r="F301" s="5" t="s">
        <v>6</v>
      </c>
      <c r="G301" s="4" t="s">
        <v>7</v>
      </c>
      <c r="H301" s="5" t="str">
        <f>VLOOKUP(G301,'Master Kode'!$B$3:$D$13,2,0)</f>
        <v>PET Clear Flakes</v>
      </c>
      <c r="I301" s="4">
        <v>3500</v>
      </c>
      <c r="J301" s="4" t="s">
        <v>9</v>
      </c>
      <c r="K301" s="16">
        <f>VLOOKUP(G301,'Master Kode'!$B$3:$D$13,3,0)</f>
        <v>12500</v>
      </c>
      <c r="L301" s="16">
        <f t="shared" si="11"/>
        <v>43750000</v>
      </c>
    </row>
    <row r="302" spans="2:12">
      <c r="B302" s="4" t="s">
        <v>968</v>
      </c>
      <c r="C302" s="3">
        <f t="shared" si="10"/>
        <v>46003</v>
      </c>
      <c r="D302" s="4" t="s">
        <v>711</v>
      </c>
      <c r="E302" s="1" t="s">
        <v>338</v>
      </c>
      <c r="F302" s="5" t="s">
        <v>10</v>
      </c>
      <c r="G302" s="4" t="s">
        <v>28</v>
      </c>
      <c r="H302" s="5" t="str">
        <f>VLOOKUP(G302,'Master Kode'!$B$3:$D$13,2,0)</f>
        <v>PET Mixed Color Flakes</v>
      </c>
      <c r="I302" s="4">
        <v>2250</v>
      </c>
      <c r="J302" s="4" t="s">
        <v>9</v>
      </c>
      <c r="K302" s="16">
        <f>VLOOKUP(G302,'Master Kode'!$B$3:$D$13,3,0)</f>
        <v>8500</v>
      </c>
      <c r="L302" s="16">
        <f t="shared" si="11"/>
        <v>19125000</v>
      </c>
    </row>
    <row r="303" spans="2:12">
      <c r="B303" s="4" t="s">
        <v>969</v>
      </c>
      <c r="C303" s="3">
        <f t="shared" si="10"/>
        <v>46004</v>
      </c>
      <c r="D303" s="4" t="s">
        <v>712</v>
      </c>
      <c r="E303" s="1" t="s">
        <v>339</v>
      </c>
      <c r="F303" s="5" t="s">
        <v>13</v>
      </c>
      <c r="G303" s="4" t="s">
        <v>20</v>
      </c>
      <c r="H303" s="5" t="str">
        <f>VLOOKUP(G303,'Master Kode'!$B$3:$D$13,2,0)</f>
        <v>PP Injection Flakes</v>
      </c>
      <c r="I303" s="4">
        <v>2730</v>
      </c>
      <c r="J303" s="4" t="s">
        <v>9</v>
      </c>
      <c r="K303" s="16">
        <f>VLOOKUP(G303,'Master Kode'!$B$3:$D$13,3,0)</f>
        <v>11000</v>
      </c>
      <c r="L303" s="16">
        <f t="shared" si="11"/>
        <v>30030000</v>
      </c>
    </row>
    <row r="304" spans="2:12">
      <c r="B304" s="4" t="s">
        <v>970</v>
      </c>
      <c r="C304" s="3">
        <f t="shared" si="10"/>
        <v>46005</v>
      </c>
      <c r="D304" s="4" t="s">
        <v>713</v>
      </c>
      <c r="E304" s="1" t="s">
        <v>340</v>
      </c>
      <c r="F304" s="5" t="s">
        <v>16</v>
      </c>
      <c r="G304" s="4" t="s">
        <v>26</v>
      </c>
      <c r="H304" s="5" t="str">
        <f>VLOOKUP(G304,'Master Kode'!$B$3:$D$13,2,0)</f>
        <v>HDPE Blue Drum Flakes</v>
      </c>
      <c r="I304" s="4">
        <v>1650</v>
      </c>
      <c r="J304" s="4" t="s">
        <v>9</v>
      </c>
      <c r="K304" s="16">
        <f>VLOOKUP(G304,'Master Kode'!$B$3:$D$13,3,0)</f>
        <v>11500</v>
      </c>
      <c r="L304" s="16">
        <f t="shared" si="11"/>
        <v>18975000</v>
      </c>
    </row>
    <row r="305" spans="2:12">
      <c r="B305" s="4" t="s">
        <v>971</v>
      </c>
      <c r="C305" s="3">
        <f t="shared" si="10"/>
        <v>46006</v>
      </c>
      <c r="D305" s="4" t="s">
        <v>714</v>
      </c>
      <c r="E305" s="1" t="s">
        <v>341</v>
      </c>
      <c r="F305" s="5" t="s">
        <v>19</v>
      </c>
      <c r="G305" s="4" t="s">
        <v>23</v>
      </c>
      <c r="H305" s="5" t="str">
        <f>VLOOKUP(G305,'Master Kode'!$B$3:$D$13,2,0)</f>
        <v>PET Green Flakes</v>
      </c>
      <c r="I305" s="4">
        <v>3080</v>
      </c>
      <c r="J305" s="4" t="s">
        <v>9</v>
      </c>
      <c r="K305" s="16">
        <f>VLOOKUP(G305,'Master Kode'!$B$3:$D$13,3,0)</f>
        <v>9000</v>
      </c>
      <c r="L305" s="16">
        <f t="shared" si="11"/>
        <v>27720000</v>
      </c>
    </row>
    <row r="306" spans="2:12">
      <c r="B306" s="4" t="s">
        <v>972</v>
      </c>
      <c r="C306" s="3">
        <f t="shared" si="10"/>
        <v>46007</v>
      </c>
      <c r="D306" s="4" t="s">
        <v>715</v>
      </c>
      <c r="E306" s="1" t="s">
        <v>342</v>
      </c>
      <c r="F306" s="5" t="s">
        <v>22</v>
      </c>
      <c r="G306" s="4" t="s">
        <v>30</v>
      </c>
      <c r="H306" s="5" t="str">
        <f>VLOOKUP(G306,'Master Kode'!$B$3:$D$13,2,0)</f>
        <v>PP White Flakes</v>
      </c>
      <c r="I306" s="4">
        <v>2420</v>
      </c>
      <c r="J306" s="4" t="s">
        <v>9</v>
      </c>
      <c r="K306" s="16">
        <f>VLOOKUP(G306,'Master Kode'!$B$3:$D$13,3,0)</f>
        <v>12000</v>
      </c>
      <c r="L306" s="16">
        <f t="shared" si="11"/>
        <v>29040000</v>
      </c>
    </row>
    <row r="307" spans="2:12">
      <c r="B307" s="4" t="s">
        <v>973</v>
      </c>
      <c r="C307" s="3">
        <f t="shared" si="10"/>
        <v>46008</v>
      </c>
      <c r="D307" s="4" t="s">
        <v>716</v>
      </c>
      <c r="E307" s="1" t="s">
        <v>343</v>
      </c>
      <c r="F307" s="5" t="s">
        <v>25</v>
      </c>
      <c r="G307" s="4" t="s">
        <v>34</v>
      </c>
      <c r="H307" s="5" t="str">
        <f>VLOOKUP(G307,'Master Kode'!$B$3:$D$13,2,0)</f>
        <v>PET Hot Washed Flakes</v>
      </c>
      <c r="I307" s="4">
        <v>3340</v>
      </c>
      <c r="J307" s="4" t="s">
        <v>9</v>
      </c>
      <c r="K307" s="16">
        <f>VLOOKUP(G307,'Master Kode'!$B$3:$D$13,3,0)</f>
        <v>14500</v>
      </c>
      <c r="L307" s="16">
        <f t="shared" si="11"/>
        <v>48430000</v>
      </c>
    </row>
    <row r="308" spans="2:12">
      <c r="B308" s="4" t="s">
        <v>974</v>
      </c>
      <c r="C308" s="3">
        <f t="shared" si="10"/>
        <v>46009</v>
      </c>
      <c r="D308" s="4" t="s">
        <v>717</v>
      </c>
      <c r="E308" s="1" t="s">
        <v>344</v>
      </c>
      <c r="F308" s="5" t="s">
        <v>6</v>
      </c>
      <c r="G308" s="4" t="s">
        <v>17</v>
      </c>
      <c r="H308" s="5" t="str">
        <f>VLOOKUP(G308,'Master Kode'!$B$3:$D$13,2,0)</f>
        <v>HDPE Mixed Color Flakes</v>
      </c>
      <c r="I308" s="4">
        <v>2870</v>
      </c>
      <c r="J308" s="4" t="s">
        <v>9</v>
      </c>
      <c r="K308" s="16">
        <f>VLOOKUP(G308,'Master Kode'!$B$3:$D$13,3,0)</f>
        <v>9500</v>
      </c>
      <c r="L308" s="16">
        <f t="shared" si="11"/>
        <v>27265000</v>
      </c>
    </row>
    <row r="309" spans="2:12">
      <c r="B309" s="4" t="s">
        <v>975</v>
      </c>
      <c r="C309" s="3">
        <f t="shared" si="10"/>
        <v>46010</v>
      </c>
      <c r="D309" s="4" t="s">
        <v>718</v>
      </c>
      <c r="E309" s="1" t="s">
        <v>345</v>
      </c>
      <c r="F309" s="5" t="s">
        <v>10</v>
      </c>
      <c r="G309" s="4" t="s">
        <v>7</v>
      </c>
      <c r="H309" s="5" t="str">
        <f>VLOOKUP(G309,'Master Kode'!$B$3:$D$13,2,0)</f>
        <v>PET Clear Flakes</v>
      </c>
      <c r="I309" s="4">
        <v>3620</v>
      </c>
      <c r="J309" s="4" t="s">
        <v>9</v>
      </c>
      <c r="K309" s="16">
        <f>VLOOKUP(G309,'Master Kode'!$B$3:$D$13,3,0)</f>
        <v>12500</v>
      </c>
      <c r="L309" s="16">
        <f t="shared" si="11"/>
        <v>45250000</v>
      </c>
    </row>
    <row r="310" spans="2:12">
      <c r="B310" s="4" t="s">
        <v>976</v>
      </c>
      <c r="C310" s="3">
        <f t="shared" si="10"/>
        <v>46011</v>
      </c>
      <c r="D310" s="4" t="s">
        <v>719</v>
      </c>
      <c r="E310" s="1" t="s">
        <v>346</v>
      </c>
      <c r="F310" s="5" t="s">
        <v>13</v>
      </c>
      <c r="G310" s="4" t="s">
        <v>14</v>
      </c>
      <c r="H310" s="5" t="str">
        <f>VLOOKUP(G310,'Master Kode'!$B$3:$D$13,2,0)</f>
        <v>HDPE Natural Flakes</v>
      </c>
      <c r="I310" s="4">
        <v>2080</v>
      </c>
      <c r="J310" s="4" t="s">
        <v>9</v>
      </c>
      <c r="K310" s="16">
        <f>VLOOKUP(G310,'Master Kode'!$B$3:$D$13,3,0)</f>
        <v>13500</v>
      </c>
      <c r="L310" s="16">
        <f t="shared" si="11"/>
        <v>28080000</v>
      </c>
    </row>
    <row r="311" spans="2:12">
      <c r="B311" s="4" t="s">
        <v>977</v>
      </c>
      <c r="C311" s="3">
        <f t="shared" si="10"/>
        <v>46012</v>
      </c>
      <c r="D311" s="4" t="s">
        <v>720</v>
      </c>
      <c r="E311" s="1" t="s">
        <v>347</v>
      </c>
      <c r="F311" s="5" t="s">
        <v>16</v>
      </c>
      <c r="G311" s="4" t="s">
        <v>28</v>
      </c>
      <c r="H311" s="5" t="str">
        <f>VLOOKUP(G311,'Master Kode'!$B$3:$D$13,2,0)</f>
        <v>PET Mixed Color Flakes</v>
      </c>
      <c r="I311" s="4">
        <v>2310</v>
      </c>
      <c r="J311" s="4" t="s">
        <v>9</v>
      </c>
      <c r="K311" s="16">
        <f>VLOOKUP(G311,'Master Kode'!$B$3:$D$13,3,0)</f>
        <v>8500</v>
      </c>
      <c r="L311" s="16">
        <f t="shared" si="11"/>
        <v>19635000</v>
      </c>
    </row>
    <row r="312" spans="2:12">
      <c r="B312" s="4" t="s">
        <v>978</v>
      </c>
      <c r="C312" s="3">
        <f t="shared" si="10"/>
        <v>46013</v>
      </c>
      <c r="D312" s="4" t="s">
        <v>721</v>
      </c>
      <c r="E312" s="1" t="s">
        <v>348</v>
      </c>
      <c r="F312" s="5" t="s">
        <v>19</v>
      </c>
      <c r="G312" s="4" t="s">
        <v>11</v>
      </c>
      <c r="H312" s="5" t="str">
        <f>VLOOKUP(G312,'Master Kode'!$B$3:$D$13,2,0)</f>
        <v>PET Blue Flakes</v>
      </c>
      <c r="I312" s="4">
        <v>2980</v>
      </c>
      <c r="J312" s="4" t="s">
        <v>9</v>
      </c>
      <c r="K312" s="16">
        <f>VLOOKUP(G312,'Master Kode'!$B$3:$D$13,3,0)</f>
        <v>10000</v>
      </c>
      <c r="L312" s="16">
        <f t="shared" si="11"/>
        <v>29800000</v>
      </c>
    </row>
    <row r="313" spans="2:12">
      <c r="B313" s="4" t="s">
        <v>979</v>
      </c>
      <c r="C313" s="3">
        <f t="shared" si="10"/>
        <v>46014</v>
      </c>
      <c r="D313" s="4" t="s">
        <v>722</v>
      </c>
      <c r="E313" s="1" t="s">
        <v>349</v>
      </c>
      <c r="F313" s="5" t="s">
        <v>22</v>
      </c>
      <c r="G313" s="4" t="s">
        <v>20</v>
      </c>
      <c r="H313" s="5" t="str">
        <f>VLOOKUP(G313,'Master Kode'!$B$3:$D$13,2,0)</f>
        <v>PP Injection Flakes</v>
      </c>
      <c r="I313" s="4">
        <v>2750</v>
      </c>
      <c r="J313" s="4" t="s">
        <v>9</v>
      </c>
      <c r="K313" s="16">
        <f>VLOOKUP(G313,'Master Kode'!$B$3:$D$13,3,0)</f>
        <v>11000</v>
      </c>
      <c r="L313" s="16">
        <f t="shared" si="11"/>
        <v>30250000</v>
      </c>
    </row>
  </sheetData>
  <autoFilter ref="B2:L313" xr:uid="{9294EC05-2E35-4E82-B28D-F9DA9D0B8FE2}"/>
  <mergeCells count="1">
    <mergeCell ref="N10:O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783FC-ECA9-43F5-BA8B-F27344419FB3}">
  <dimension ref="B2:AB313"/>
  <sheetViews>
    <sheetView tabSelected="1" topLeftCell="C1" zoomScale="40" workbookViewId="0">
      <selection activeCell="H7" sqref="H4:H15"/>
      <pivotSelection pane="bottomRight" showHeader="1" axis="axisRow" activeRow="6" activeCol="7" previousRow="6" previousCol="7" click="1" r:id="rId1">
        <pivotArea dataOnly="0" labelOnly="1" fieldPosition="0">
          <references count="1">
            <reference field="11" count="0"/>
          </references>
        </pivotArea>
      </pivotSelection>
    </sheetView>
  </sheetViews>
  <sheetFormatPr defaultRowHeight="14.5"/>
  <cols>
    <col min="2" max="2" width="21.7265625" bestFit="1" customWidth="1"/>
    <col min="3" max="3" width="22.6328125" bestFit="1" customWidth="1"/>
    <col min="5" max="5" width="24.36328125" bestFit="1" customWidth="1"/>
    <col min="6" max="6" width="22.6328125" bestFit="1" customWidth="1"/>
    <col min="7" max="7" width="12.6328125" bestFit="1" customWidth="1"/>
    <col min="8" max="8" width="30.453125" style="6" bestFit="1" customWidth="1"/>
    <col min="9" max="9" width="25.81640625" bestFit="1" customWidth="1"/>
    <col min="10" max="10" width="25.6328125" bestFit="1" customWidth="1"/>
    <col min="11" max="11" width="27.1796875" bestFit="1" customWidth="1"/>
    <col min="12" max="12" width="22.1796875" bestFit="1" customWidth="1"/>
    <col min="13" max="13" width="17.36328125" bestFit="1" customWidth="1"/>
    <col min="14" max="14" width="18.08984375" bestFit="1" customWidth="1"/>
    <col min="15" max="15" width="18.7265625" bestFit="1" customWidth="1"/>
    <col min="16" max="17" width="25.1796875" bestFit="1" customWidth="1"/>
    <col min="18" max="18" width="20.6328125" bestFit="1" customWidth="1"/>
    <col min="19" max="19" width="17.36328125" bestFit="1" customWidth="1"/>
    <col min="20" max="20" width="12.81640625" bestFit="1" customWidth="1"/>
    <col min="21" max="21" width="11.08984375" bestFit="1" customWidth="1"/>
    <col min="22" max="22" width="15.26953125" bestFit="1" customWidth="1"/>
    <col min="23" max="23" width="25.6328125" bestFit="1" customWidth="1"/>
    <col min="24" max="24" width="15.36328125" bestFit="1" customWidth="1"/>
    <col min="25" max="25" width="11.54296875" style="31" bestFit="1" customWidth="1"/>
    <col min="26" max="26" width="10.26953125" style="34" bestFit="1" customWidth="1"/>
    <col min="27" max="27" width="15.26953125" bestFit="1" customWidth="1"/>
    <col min="28" max="28" width="21.81640625" bestFit="1" customWidth="1"/>
    <col min="29" max="29" width="13.453125" bestFit="1" customWidth="1"/>
    <col min="30" max="30" width="15.26953125" bestFit="1" customWidth="1"/>
    <col min="31" max="31" width="22.81640625" bestFit="1" customWidth="1"/>
    <col min="32" max="32" width="26" bestFit="1" customWidth="1"/>
    <col min="33" max="33" width="26.7265625" bestFit="1" customWidth="1"/>
    <col min="34" max="34" width="30.36328125" bestFit="1" customWidth="1"/>
    <col min="35" max="35" width="26" bestFit="1" customWidth="1"/>
    <col min="36" max="36" width="22.6328125" bestFit="1" customWidth="1"/>
    <col min="37" max="37" width="29" bestFit="1" customWidth="1"/>
    <col min="38" max="38" width="31" bestFit="1" customWidth="1"/>
    <col min="39" max="39" width="13.54296875" bestFit="1" customWidth="1"/>
    <col min="40" max="41" width="5.81640625" bestFit="1" customWidth="1"/>
    <col min="42" max="42" width="5.90625" bestFit="1" customWidth="1"/>
    <col min="43" max="43" width="5.81640625" bestFit="1" customWidth="1"/>
    <col min="44" max="44" width="10.81640625" bestFit="1" customWidth="1"/>
    <col min="45" max="274" width="15.26953125" bestFit="1" customWidth="1"/>
    <col min="275" max="275" width="10.7265625" bestFit="1" customWidth="1"/>
  </cols>
  <sheetData>
    <row r="2" spans="2:28">
      <c r="B2" s="23" t="s">
        <v>993</v>
      </c>
      <c r="C2" s="23" t="s">
        <v>994</v>
      </c>
      <c r="E2" s="23" t="s">
        <v>995</v>
      </c>
      <c r="F2" s="23" t="s">
        <v>994</v>
      </c>
      <c r="H2" s="50" t="s">
        <v>1016</v>
      </c>
      <c r="I2" s="50" t="s">
        <v>993</v>
      </c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V2" s="2" t="s">
        <v>406</v>
      </c>
      <c r="W2" s="23" t="s">
        <v>3</v>
      </c>
      <c r="X2" s="32" t="s">
        <v>409</v>
      </c>
      <c r="Y2" s="33" t="s">
        <v>999</v>
      </c>
      <c r="AA2" s="23" t="s">
        <v>1000</v>
      </c>
      <c r="AB2" s="23" t="s">
        <v>1001</v>
      </c>
    </row>
    <row r="3" spans="2:28">
      <c r="B3" s="6" t="s">
        <v>33</v>
      </c>
      <c r="C3" s="35">
        <v>30985</v>
      </c>
      <c r="E3" s="6" t="s">
        <v>25</v>
      </c>
      <c r="F3">
        <v>74040</v>
      </c>
      <c r="H3" s="50" t="s">
        <v>997</v>
      </c>
      <c r="I3" s="49" t="s">
        <v>27</v>
      </c>
      <c r="J3" s="49" t="s">
        <v>33</v>
      </c>
      <c r="K3" s="49" t="s">
        <v>18</v>
      </c>
      <c r="L3" s="49" t="s">
        <v>15</v>
      </c>
      <c r="M3" s="49" t="s">
        <v>12</v>
      </c>
      <c r="N3" s="49" t="s">
        <v>8</v>
      </c>
      <c r="O3" s="49" t="s">
        <v>24</v>
      </c>
      <c r="P3" s="49" t="s">
        <v>35</v>
      </c>
      <c r="Q3" s="49" t="s">
        <v>29</v>
      </c>
      <c r="R3" s="49" t="s">
        <v>21</v>
      </c>
      <c r="S3" s="49" t="s">
        <v>31</v>
      </c>
      <c r="T3" s="50" t="s">
        <v>980</v>
      </c>
      <c r="V3" s="4" t="s">
        <v>410</v>
      </c>
      <c r="W3" t="s">
        <v>8</v>
      </c>
      <c r="X3" s="31">
        <v>15062500</v>
      </c>
      <c r="Y3" s="34">
        <f>X3/1000000</f>
        <v>15.0625</v>
      </c>
      <c r="AA3" s="6" t="s">
        <v>33</v>
      </c>
      <c r="AB3" s="37">
        <v>325.34250000000009</v>
      </c>
    </row>
    <row r="4" spans="2:28">
      <c r="B4" s="6" t="s">
        <v>27</v>
      </c>
      <c r="C4" s="35">
        <v>42445</v>
      </c>
      <c r="E4" s="6" t="s">
        <v>22</v>
      </c>
      <c r="F4">
        <v>115275</v>
      </c>
      <c r="H4" s="54" t="s">
        <v>981</v>
      </c>
      <c r="I4" s="52">
        <v>4230</v>
      </c>
      <c r="J4" s="52">
        <v>4430</v>
      </c>
      <c r="K4" s="52">
        <v>4780</v>
      </c>
      <c r="L4" s="52">
        <v>5780</v>
      </c>
      <c r="M4" s="52">
        <v>7415</v>
      </c>
      <c r="N4" s="52">
        <v>3080</v>
      </c>
      <c r="O4" s="52">
        <v>4745</v>
      </c>
      <c r="P4" s="52">
        <v>6165</v>
      </c>
      <c r="Q4" s="52">
        <v>5440</v>
      </c>
      <c r="R4" s="52">
        <v>5950</v>
      </c>
      <c r="S4" s="52">
        <v>6430</v>
      </c>
      <c r="T4" s="52">
        <v>58445</v>
      </c>
      <c r="V4" s="4" t="s">
        <v>411</v>
      </c>
      <c r="W4" t="s">
        <v>12</v>
      </c>
      <c r="X4" s="31">
        <v>30150000</v>
      </c>
      <c r="Y4" s="34">
        <f t="shared" ref="Y4:Y67" si="0">X4/1000000</f>
        <v>30.15</v>
      </c>
      <c r="AA4" s="6" t="s">
        <v>27</v>
      </c>
      <c r="AB4" s="37">
        <v>488.11750000000006</v>
      </c>
    </row>
    <row r="5" spans="2:28">
      <c r="B5" s="6" t="s">
        <v>31</v>
      </c>
      <c r="C5" s="35">
        <v>55530</v>
      </c>
      <c r="E5" s="6" t="s">
        <v>16</v>
      </c>
      <c r="F5">
        <v>128865</v>
      </c>
      <c r="H5" s="54" t="s">
        <v>982</v>
      </c>
      <c r="I5" s="52">
        <v>3175</v>
      </c>
      <c r="J5" s="52">
        <v>1600</v>
      </c>
      <c r="K5" s="52">
        <v>11500</v>
      </c>
      <c r="L5" s="52">
        <v>3630</v>
      </c>
      <c r="M5" s="52">
        <v>9250</v>
      </c>
      <c r="N5" s="52">
        <v>10330</v>
      </c>
      <c r="O5" s="52">
        <v>4800</v>
      </c>
      <c r="P5" s="52">
        <v>7450</v>
      </c>
      <c r="Q5" s="52">
        <v>6400</v>
      </c>
      <c r="R5" s="52">
        <v>5700</v>
      </c>
      <c r="S5" s="52">
        <v>5100</v>
      </c>
      <c r="T5" s="52">
        <v>68935</v>
      </c>
      <c r="V5" s="4" t="s">
        <v>412</v>
      </c>
      <c r="W5" t="s">
        <v>15</v>
      </c>
      <c r="X5" s="31">
        <v>29025000</v>
      </c>
      <c r="Y5" s="34">
        <f t="shared" si="0"/>
        <v>29.024999999999999</v>
      </c>
      <c r="AA5" s="6" t="s">
        <v>29</v>
      </c>
      <c r="AB5" s="37">
        <v>594.1925</v>
      </c>
    </row>
    <row r="6" spans="2:28">
      <c r="B6" s="6" t="s">
        <v>29</v>
      </c>
      <c r="C6" s="35">
        <v>69905</v>
      </c>
      <c r="E6" s="6" t="s">
        <v>19</v>
      </c>
      <c r="F6">
        <v>114210</v>
      </c>
      <c r="H6" s="54" t="s">
        <v>983</v>
      </c>
      <c r="I6" s="52">
        <v>3200</v>
      </c>
      <c r="J6" s="52"/>
      <c r="K6" s="52">
        <v>7700</v>
      </c>
      <c r="L6" s="52">
        <v>6300</v>
      </c>
      <c r="M6" s="52">
        <v>8670</v>
      </c>
      <c r="N6" s="52">
        <v>7305</v>
      </c>
      <c r="O6" s="52">
        <v>6000</v>
      </c>
      <c r="P6" s="52">
        <v>6750</v>
      </c>
      <c r="Q6" s="52">
        <v>5300</v>
      </c>
      <c r="R6" s="52">
        <v>9000</v>
      </c>
      <c r="S6" s="52">
        <v>4380</v>
      </c>
      <c r="T6" s="52">
        <v>64605</v>
      </c>
      <c r="V6" s="4" t="s">
        <v>413</v>
      </c>
      <c r="W6" t="s">
        <v>18</v>
      </c>
      <c r="X6" s="31">
        <v>17955000</v>
      </c>
      <c r="Y6" s="34">
        <f t="shared" si="0"/>
        <v>17.954999999999998</v>
      </c>
      <c r="AA6" s="6" t="s">
        <v>31</v>
      </c>
      <c r="AB6" s="37">
        <v>666.3599999999999</v>
      </c>
    </row>
    <row r="7" spans="2:28">
      <c r="B7" s="6" t="s">
        <v>35</v>
      </c>
      <c r="C7" s="35">
        <v>81500</v>
      </c>
      <c r="E7" s="6" t="s">
        <v>6</v>
      </c>
      <c r="F7">
        <v>123660</v>
      </c>
      <c r="H7" s="54" t="s">
        <v>984</v>
      </c>
      <c r="I7" s="52">
        <v>1650</v>
      </c>
      <c r="J7" s="52">
        <v>3750</v>
      </c>
      <c r="K7" s="52">
        <v>6180</v>
      </c>
      <c r="L7" s="52">
        <v>6420</v>
      </c>
      <c r="M7" s="52">
        <v>6735</v>
      </c>
      <c r="N7" s="52">
        <v>6790</v>
      </c>
      <c r="O7" s="52">
        <v>4640</v>
      </c>
      <c r="P7" s="52">
        <v>6560</v>
      </c>
      <c r="Q7" s="52">
        <v>5900</v>
      </c>
      <c r="R7" s="52">
        <v>8065</v>
      </c>
      <c r="S7" s="52">
        <v>5590</v>
      </c>
      <c r="T7" s="52">
        <v>62280</v>
      </c>
      <c r="V7" s="4" t="s">
        <v>414</v>
      </c>
      <c r="W7" t="s">
        <v>21</v>
      </c>
      <c r="X7" s="31">
        <v>30250000</v>
      </c>
      <c r="Y7" s="34">
        <f t="shared" si="0"/>
        <v>30.25</v>
      </c>
      <c r="AA7" s="6" t="s">
        <v>24</v>
      </c>
      <c r="AB7" s="37">
        <v>770.13000000000011</v>
      </c>
    </row>
    <row r="8" spans="2:28">
      <c r="B8" s="6" t="s">
        <v>15</v>
      </c>
      <c r="C8" s="35">
        <v>82685</v>
      </c>
      <c r="E8" s="6" t="s">
        <v>13</v>
      </c>
      <c r="F8">
        <v>115385</v>
      </c>
      <c r="H8" s="54" t="s">
        <v>985</v>
      </c>
      <c r="I8" s="52">
        <v>4080</v>
      </c>
      <c r="J8" s="52">
        <v>3885</v>
      </c>
      <c r="K8" s="52">
        <v>6310</v>
      </c>
      <c r="L8" s="52">
        <v>6460</v>
      </c>
      <c r="M8" s="52">
        <v>9550</v>
      </c>
      <c r="N8" s="52">
        <v>7390</v>
      </c>
      <c r="O8" s="52">
        <v>8245</v>
      </c>
      <c r="P8" s="52">
        <v>6045</v>
      </c>
      <c r="Q8" s="52">
        <v>7150</v>
      </c>
      <c r="R8" s="52">
        <v>9100</v>
      </c>
      <c r="S8" s="52"/>
      <c r="T8" s="52">
        <v>68215</v>
      </c>
      <c r="V8" s="4" t="s">
        <v>415</v>
      </c>
      <c r="W8" t="s">
        <v>24</v>
      </c>
      <c r="X8" s="31">
        <v>29880000</v>
      </c>
      <c r="Y8" s="34">
        <f t="shared" si="0"/>
        <v>29.88</v>
      </c>
      <c r="AA8" s="6" t="s">
        <v>18</v>
      </c>
      <c r="AB8" s="37">
        <v>801.70499999999981</v>
      </c>
    </row>
    <row r="9" spans="2:28">
      <c r="B9" s="6" t="s">
        <v>18</v>
      </c>
      <c r="C9" s="35">
        <v>84390</v>
      </c>
      <c r="E9" s="6" t="s">
        <v>10</v>
      </c>
      <c r="F9">
        <v>131945</v>
      </c>
      <c r="H9" s="54" t="s">
        <v>986</v>
      </c>
      <c r="I9" s="52">
        <v>5560</v>
      </c>
      <c r="J9" s="52"/>
      <c r="K9" s="52">
        <v>9155</v>
      </c>
      <c r="L9" s="52">
        <v>6670</v>
      </c>
      <c r="M9" s="52">
        <v>5300</v>
      </c>
      <c r="N9" s="52">
        <v>6255</v>
      </c>
      <c r="O9" s="52">
        <v>9510</v>
      </c>
      <c r="P9" s="52">
        <v>7400</v>
      </c>
      <c r="Q9" s="52">
        <v>5870</v>
      </c>
      <c r="R9" s="52">
        <v>5370</v>
      </c>
      <c r="S9" s="52">
        <v>4880</v>
      </c>
      <c r="T9" s="52">
        <v>65970</v>
      </c>
      <c r="V9" s="4" t="s">
        <v>416</v>
      </c>
      <c r="W9" t="s">
        <v>27</v>
      </c>
      <c r="X9" s="31">
        <v>16675000</v>
      </c>
      <c r="Y9" s="34">
        <f t="shared" si="0"/>
        <v>16.675000000000001</v>
      </c>
      <c r="AA9" s="6" t="s">
        <v>12</v>
      </c>
      <c r="AB9" s="37">
        <v>916.19999999999993</v>
      </c>
    </row>
    <row r="10" spans="2:28">
      <c r="B10" s="6" t="s">
        <v>21</v>
      </c>
      <c r="C10" s="35">
        <v>85110</v>
      </c>
      <c r="E10" s="24" t="s">
        <v>980</v>
      </c>
      <c r="F10" s="25">
        <v>803380</v>
      </c>
      <c r="H10" s="54" t="s">
        <v>987</v>
      </c>
      <c r="I10" s="52">
        <v>2210</v>
      </c>
      <c r="J10" s="52">
        <v>4150</v>
      </c>
      <c r="K10" s="52">
        <v>6275</v>
      </c>
      <c r="L10" s="52">
        <v>9975</v>
      </c>
      <c r="M10" s="52">
        <v>9420</v>
      </c>
      <c r="N10" s="52">
        <v>7090</v>
      </c>
      <c r="O10" s="52">
        <v>9975</v>
      </c>
      <c r="P10" s="52">
        <v>5200</v>
      </c>
      <c r="Q10" s="52">
        <v>6020</v>
      </c>
      <c r="R10" s="52">
        <v>8075</v>
      </c>
      <c r="S10" s="52">
        <v>2950</v>
      </c>
      <c r="T10" s="52">
        <v>71340</v>
      </c>
      <c r="V10" s="4" t="s">
        <v>417</v>
      </c>
      <c r="W10" t="s">
        <v>29</v>
      </c>
      <c r="X10" s="31">
        <v>17850000</v>
      </c>
      <c r="Y10" s="34">
        <f t="shared" si="0"/>
        <v>17.850000000000001</v>
      </c>
      <c r="AA10" s="6" t="s">
        <v>21</v>
      </c>
      <c r="AB10" s="37">
        <v>936.21000000000015</v>
      </c>
    </row>
    <row r="11" spans="2:28">
      <c r="B11" s="6" t="s">
        <v>24</v>
      </c>
      <c r="C11" s="35">
        <v>85570</v>
      </c>
      <c r="H11" s="54" t="s">
        <v>988</v>
      </c>
      <c r="I11" s="52">
        <v>3400</v>
      </c>
      <c r="J11" s="52">
        <v>5750</v>
      </c>
      <c r="K11" s="52">
        <v>3850</v>
      </c>
      <c r="L11" s="52">
        <v>6650</v>
      </c>
      <c r="M11" s="52">
        <v>6200</v>
      </c>
      <c r="N11" s="52">
        <v>7950</v>
      </c>
      <c r="O11" s="52">
        <v>8500</v>
      </c>
      <c r="P11" s="52">
        <v>6950</v>
      </c>
      <c r="Q11" s="52">
        <v>4500</v>
      </c>
      <c r="R11" s="52">
        <v>5850</v>
      </c>
      <c r="S11" s="52">
        <v>5900</v>
      </c>
      <c r="T11" s="52">
        <v>65500</v>
      </c>
      <c r="V11" s="4" t="s">
        <v>418</v>
      </c>
      <c r="W11" t="s">
        <v>31</v>
      </c>
      <c r="X11" s="31">
        <v>47760000</v>
      </c>
      <c r="Y11" s="34">
        <f t="shared" si="0"/>
        <v>47.76</v>
      </c>
      <c r="AA11" s="6" t="s">
        <v>15</v>
      </c>
      <c r="AB11" s="37">
        <v>1116.2474999999999</v>
      </c>
    </row>
    <row r="12" spans="2:28">
      <c r="B12" s="6" t="s">
        <v>12</v>
      </c>
      <c r="C12" s="35">
        <v>91620</v>
      </c>
      <c r="E12" s="23" t="s">
        <v>995</v>
      </c>
      <c r="F12" s="23" t="s">
        <v>996</v>
      </c>
      <c r="H12" s="54" t="s">
        <v>989</v>
      </c>
      <c r="I12" s="52">
        <v>3580</v>
      </c>
      <c r="J12" s="52">
        <v>1540</v>
      </c>
      <c r="K12" s="52">
        <v>8570</v>
      </c>
      <c r="L12" s="52">
        <v>8800</v>
      </c>
      <c r="M12" s="52">
        <v>7130</v>
      </c>
      <c r="N12" s="52">
        <v>8430</v>
      </c>
      <c r="O12" s="52">
        <v>9715</v>
      </c>
      <c r="P12" s="52">
        <v>8250</v>
      </c>
      <c r="Q12" s="52">
        <v>6200</v>
      </c>
      <c r="R12" s="52">
        <v>9100</v>
      </c>
      <c r="S12" s="52">
        <v>4600</v>
      </c>
      <c r="T12" s="52">
        <v>75915</v>
      </c>
      <c r="V12" s="4" t="s">
        <v>419</v>
      </c>
      <c r="W12" t="s">
        <v>33</v>
      </c>
      <c r="X12" s="31">
        <v>26880000</v>
      </c>
      <c r="Y12" s="34">
        <f t="shared" si="0"/>
        <v>26.88</v>
      </c>
      <c r="AA12" s="6" t="s">
        <v>8</v>
      </c>
      <c r="AB12" s="37">
        <v>1170.5</v>
      </c>
    </row>
    <row r="13" spans="2:28">
      <c r="B13" s="6" t="s">
        <v>8</v>
      </c>
      <c r="C13" s="35">
        <v>93640</v>
      </c>
      <c r="E13" s="6" t="s">
        <v>25</v>
      </c>
      <c r="F13" s="22">
        <v>853877500</v>
      </c>
      <c r="H13" s="54" t="s">
        <v>990</v>
      </c>
      <c r="I13" s="52">
        <v>5220</v>
      </c>
      <c r="J13" s="52">
        <v>4210</v>
      </c>
      <c r="K13" s="52">
        <v>4960</v>
      </c>
      <c r="L13" s="52">
        <v>9450</v>
      </c>
      <c r="M13" s="52">
        <v>7190</v>
      </c>
      <c r="N13" s="52">
        <v>6770</v>
      </c>
      <c r="O13" s="52">
        <v>5380</v>
      </c>
      <c r="P13" s="52">
        <v>7060</v>
      </c>
      <c r="Q13" s="52">
        <v>4555</v>
      </c>
      <c r="R13" s="52">
        <v>4730</v>
      </c>
      <c r="S13" s="52">
        <v>6090</v>
      </c>
      <c r="T13" s="52">
        <v>65615</v>
      </c>
      <c r="V13" s="4" t="s">
        <v>420</v>
      </c>
      <c r="W13" t="s">
        <v>35</v>
      </c>
      <c r="X13" s="31">
        <v>46037500</v>
      </c>
      <c r="Y13" s="34">
        <f t="shared" si="0"/>
        <v>46.037500000000001</v>
      </c>
      <c r="AA13" s="6" t="s">
        <v>35</v>
      </c>
      <c r="AB13" s="37">
        <v>1181.7499999999998</v>
      </c>
    </row>
    <row r="14" spans="2:28">
      <c r="B14" s="24" t="s">
        <v>980</v>
      </c>
      <c r="C14" s="36">
        <v>803380</v>
      </c>
      <c r="E14" s="6" t="s">
        <v>22</v>
      </c>
      <c r="F14" s="22">
        <v>1243285000</v>
      </c>
      <c r="H14" s="54" t="s">
        <v>991</v>
      </c>
      <c r="I14" s="52">
        <v>3010</v>
      </c>
      <c r="J14" s="52">
        <v>1670</v>
      </c>
      <c r="K14" s="52">
        <v>6720</v>
      </c>
      <c r="L14" s="52">
        <v>6430</v>
      </c>
      <c r="M14" s="52">
        <v>5940</v>
      </c>
      <c r="N14" s="52">
        <v>9960</v>
      </c>
      <c r="O14" s="52">
        <v>7730</v>
      </c>
      <c r="P14" s="52">
        <v>7180</v>
      </c>
      <c r="Q14" s="52">
        <v>5910</v>
      </c>
      <c r="R14" s="52">
        <v>6090</v>
      </c>
      <c r="S14" s="52">
        <v>4640</v>
      </c>
      <c r="T14" s="52">
        <v>65280</v>
      </c>
      <c r="V14" s="4" t="s">
        <v>421</v>
      </c>
      <c r="W14" t="s">
        <v>8</v>
      </c>
      <c r="X14" s="31">
        <v>23437500</v>
      </c>
      <c r="Y14" s="34">
        <f t="shared" si="0"/>
        <v>23.4375</v>
      </c>
      <c r="AA14" s="24" t="s">
        <v>980</v>
      </c>
      <c r="AB14" s="38">
        <v>8966.755000000001</v>
      </c>
    </row>
    <row r="15" spans="2:28">
      <c r="E15" s="6" t="s">
        <v>16</v>
      </c>
      <c r="F15" s="22">
        <v>1393677500</v>
      </c>
      <c r="H15" s="54" t="s">
        <v>992</v>
      </c>
      <c r="I15" s="52">
        <v>3130</v>
      </c>
      <c r="J15" s="52"/>
      <c r="K15" s="52">
        <v>8390</v>
      </c>
      <c r="L15" s="52">
        <v>6120</v>
      </c>
      <c r="M15" s="52">
        <v>8820</v>
      </c>
      <c r="N15" s="52">
        <v>12290</v>
      </c>
      <c r="O15" s="52">
        <v>6330</v>
      </c>
      <c r="P15" s="52">
        <v>6490</v>
      </c>
      <c r="Q15" s="52">
        <v>6660</v>
      </c>
      <c r="R15" s="52">
        <v>8080</v>
      </c>
      <c r="S15" s="52">
        <v>4970</v>
      </c>
      <c r="T15" s="52">
        <v>71280</v>
      </c>
      <c r="V15" s="4" t="s">
        <v>422</v>
      </c>
      <c r="W15" t="s">
        <v>12</v>
      </c>
      <c r="X15" s="31">
        <v>22500000</v>
      </c>
      <c r="Y15" s="34">
        <f t="shared" si="0"/>
        <v>22.5</v>
      </c>
    </row>
    <row r="16" spans="2:28">
      <c r="B16" s="23" t="s">
        <v>993</v>
      </c>
      <c r="C16" s="23" t="s">
        <v>996</v>
      </c>
      <c r="E16" s="6" t="s">
        <v>19</v>
      </c>
      <c r="F16" s="22">
        <v>1279122500</v>
      </c>
      <c r="G16" s="35"/>
      <c r="H16" s="51" t="s">
        <v>980</v>
      </c>
      <c r="I16" s="53">
        <v>42445</v>
      </c>
      <c r="J16" s="53">
        <v>30985</v>
      </c>
      <c r="K16" s="53">
        <v>84390</v>
      </c>
      <c r="L16" s="53">
        <v>82685</v>
      </c>
      <c r="M16" s="53">
        <v>91620</v>
      </c>
      <c r="N16" s="53">
        <v>93640</v>
      </c>
      <c r="O16" s="53">
        <v>85570</v>
      </c>
      <c r="P16" s="53">
        <v>81500</v>
      </c>
      <c r="Q16" s="53">
        <v>69905</v>
      </c>
      <c r="R16" s="53">
        <v>85110</v>
      </c>
      <c r="S16" s="53">
        <v>55530</v>
      </c>
      <c r="T16" s="53">
        <v>803380</v>
      </c>
      <c r="V16" s="4" t="s">
        <v>423</v>
      </c>
      <c r="W16" t="s">
        <v>15</v>
      </c>
      <c r="X16" s="31">
        <v>22275000</v>
      </c>
      <c r="Y16" s="34">
        <f t="shared" si="0"/>
        <v>22.274999999999999</v>
      </c>
    </row>
    <row r="17" spans="2:25">
      <c r="B17" s="6" t="s">
        <v>33</v>
      </c>
      <c r="C17" s="22">
        <v>325342500</v>
      </c>
      <c r="E17" s="6" t="s">
        <v>6</v>
      </c>
      <c r="F17" s="22">
        <v>1421545000</v>
      </c>
      <c r="H17"/>
      <c r="V17" s="4" t="s">
        <v>424</v>
      </c>
      <c r="W17" t="s">
        <v>18</v>
      </c>
      <c r="X17" s="31">
        <v>27455000</v>
      </c>
      <c r="Y17" s="34">
        <f t="shared" si="0"/>
        <v>27.454999999999998</v>
      </c>
    </row>
    <row r="18" spans="2:25">
      <c r="B18" s="6" t="s">
        <v>27</v>
      </c>
      <c r="C18" s="22">
        <v>488117500</v>
      </c>
      <c r="E18" s="6" t="s">
        <v>13</v>
      </c>
      <c r="F18" s="22">
        <v>1327135000</v>
      </c>
      <c r="H18" s="23" t="s">
        <v>998</v>
      </c>
      <c r="I18" s="23" t="s">
        <v>997</v>
      </c>
      <c r="J18" s="23"/>
      <c r="K18" s="23"/>
      <c r="L18" s="23"/>
      <c r="M18" s="23"/>
      <c r="N18" s="23"/>
      <c r="O18" s="23"/>
      <c r="P18" s="23"/>
      <c r="V18" s="4" t="s">
        <v>425</v>
      </c>
      <c r="W18" t="s">
        <v>21</v>
      </c>
      <c r="X18" s="31">
        <v>35200000</v>
      </c>
      <c r="Y18" s="34">
        <f t="shared" si="0"/>
        <v>35.200000000000003</v>
      </c>
    </row>
    <row r="19" spans="2:25">
      <c r="B19" s="6" t="s">
        <v>29</v>
      </c>
      <c r="C19" s="22">
        <v>594192500</v>
      </c>
      <c r="E19" s="6" t="s">
        <v>10</v>
      </c>
      <c r="F19" s="22">
        <v>1448112500</v>
      </c>
      <c r="H19" s="50" t="s">
        <v>995</v>
      </c>
      <c r="I19" s="56" t="s">
        <v>25</v>
      </c>
      <c r="J19" s="56" t="s">
        <v>22</v>
      </c>
      <c r="K19" s="56" t="s">
        <v>16</v>
      </c>
      <c r="L19" s="56" t="s">
        <v>19</v>
      </c>
      <c r="M19" s="56" t="s">
        <v>6</v>
      </c>
      <c r="N19" s="56" t="s">
        <v>13</v>
      </c>
      <c r="O19" s="56" t="s">
        <v>10</v>
      </c>
      <c r="P19" s="50" t="s">
        <v>980</v>
      </c>
      <c r="V19" s="4" t="s">
        <v>426</v>
      </c>
      <c r="W19" t="s">
        <v>24</v>
      </c>
      <c r="X19" s="31">
        <v>12825000</v>
      </c>
      <c r="Y19" s="34">
        <f t="shared" si="0"/>
        <v>12.824999999999999</v>
      </c>
    </row>
    <row r="20" spans="2:25">
      <c r="B20" s="6" t="s">
        <v>31</v>
      </c>
      <c r="C20" s="22">
        <v>666360000</v>
      </c>
      <c r="E20" s="24" t="s">
        <v>980</v>
      </c>
      <c r="F20" s="26">
        <v>8966755000</v>
      </c>
      <c r="H20" s="55" t="s">
        <v>981</v>
      </c>
      <c r="I20" s="27">
        <v>4970</v>
      </c>
      <c r="J20" s="27">
        <v>8020</v>
      </c>
      <c r="K20" s="27">
        <v>7845</v>
      </c>
      <c r="L20" s="27">
        <v>7965</v>
      </c>
      <c r="M20" s="27">
        <v>9185</v>
      </c>
      <c r="N20" s="27">
        <v>8115</v>
      </c>
      <c r="O20" s="27">
        <v>12345</v>
      </c>
      <c r="P20" s="27">
        <v>58445</v>
      </c>
      <c r="V20" s="4" t="s">
        <v>427</v>
      </c>
      <c r="W20" t="s">
        <v>27</v>
      </c>
      <c r="X20" s="31">
        <v>31970000</v>
      </c>
      <c r="Y20" s="34">
        <f t="shared" si="0"/>
        <v>31.97</v>
      </c>
    </row>
    <row r="21" spans="2:25">
      <c r="B21" s="6" t="s">
        <v>24</v>
      </c>
      <c r="C21" s="22">
        <v>770130000</v>
      </c>
      <c r="H21" s="55" t="s">
        <v>982</v>
      </c>
      <c r="I21" s="27">
        <v>5475</v>
      </c>
      <c r="J21" s="27">
        <v>6380</v>
      </c>
      <c r="K21" s="27">
        <v>16700</v>
      </c>
      <c r="L21" s="27">
        <v>11250</v>
      </c>
      <c r="M21" s="27">
        <v>8950</v>
      </c>
      <c r="N21" s="27">
        <v>8450</v>
      </c>
      <c r="O21" s="27">
        <v>11730</v>
      </c>
      <c r="P21" s="27">
        <v>68935</v>
      </c>
      <c r="V21" s="4" t="s">
        <v>428</v>
      </c>
      <c r="W21" t="s">
        <v>29</v>
      </c>
      <c r="X21" s="31">
        <v>28390000</v>
      </c>
      <c r="Y21" s="34">
        <f t="shared" si="0"/>
        <v>28.39</v>
      </c>
    </row>
    <row r="22" spans="2:25">
      <c r="B22" s="6" t="s">
        <v>18</v>
      </c>
      <c r="C22" s="22">
        <v>801705000</v>
      </c>
      <c r="E22" s="23" t="s">
        <v>995</v>
      </c>
      <c r="F22" s="23" t="s">
        <v>1012</v>
      </c>
      <c r="H22" s="55" t="s">
        <v>983</v>
      </c>
      <c r="I22" s="27">
        <v>6250</v>
      </c>
      <c r="J22" s="27">
        <v>8400</v>
      </c>
      <c r="K22" s="27">
        <v>10055</v>
      </c>
      <c r="L22" s="27">
        <v>8220</v>
      </c>
      <c r="M22" s="27">
        <v>11350</v>
      </c>
      <c r="N22" s="27">
        <v>9450</v>
      </c>
      <c r="O22" s="27">
        <v>10880</v>
      </c>
      <c r="P22" s="27">
        <v>64605</v>
      </c>
      <c r="V22" s="4" t="s">
        <v>429</v>
      </c>
      <c r="W22" t="s">
        <v>31</v>
      </c>
      <c r="X22" s="31">
        <v>29400000</v>
      </c>
      <c r="Y22" s="34">
        <f t="shared" si="0"/>
        <v>29.4</v>
      </c>
    </row>
    <row r="23" spans="2:25">
      <c r="B23" s="6" t="s">
        <v>12</v>
      </c>
      <c r="C23" s="22">
        <v>916200000</v>
      </c>
      <c r="E23" s="6" t="s">
        <v>25</v>
      </c>
      <c r="F23" s="29">
        <v>9.2160621374691928E-2</v>
      </c>
      <c r="H23" s="55" t="s">
        <v>984</v>
      </c>
      <c r="I23" s="27">
        <v>5505</v>
      </c>
      <c r="J23" s="27">
        <v>8480</v>
      </c>
      <c r="K23" s="27">
        <v>8160</v>
      </c>
      <c r="L23" s="27">
        <v>9940</v>
      </c>
      <c r="M23" s="27">
        <v>9390</v>
      </c>
      <c r="N23" s="27">
        <v>8835</v>
      </c>
      <c r="O23" s="27">
        <v>11970</v>
      </c>
      <c r="P23" s="27">
        <v>62280</v>
      </c>
      <c r="V23" s="4" t="s">
        <v>430</v>
      </c>
      <c r="W23" t="s">
        <v>33</v>
      </c>
      <c r="X23" s="31">
        <v>19635000</v>
      </c>
      <c r="Y23" s="34">
        <f t="shared" si="0"/>
        <v>19.635000000000002</v>
      </c>
    </row>
    <row r="24" spans="2:25">
      <c r="B24" s="6" t="s">
        <v>21</v>
      </c>
      <c r="C24" s="22">
        <v>936210000</v>
      </c>
      <c r="E24" s="6" t="s">
        <v>22</v>
      </c>
      <c r="F24" s="29">
        <v>0.14348751524807687</v>
      </c>
      <c r="H24" s="55" t="s">
        <v>985</v>
      </c>
      <c r="I24" s="27">
        <v>5720</v>
      </c>
      <c r="J24" s="27">
        <v>11880</v>
      </c>
      <c r="K24" s="27">
        <v>10440</v>
      </c>
      <c r="L24" s="27">
        <v>10360</v>
      </c>
      <c r="M24" s="27">
        <v>10600</v>
      </c>
      <c r="N24" s="27">
        <v>10155</v>
      </c>
      <c r="O24" s="27">
        <v>9060</v>
      </c>
      <c r="P24" s="27">
        <v>68215</v>
      </c>
      <c r="V24" s="4" t="s">
        <v>431</v>
      </c>
      <c r="W24" t="s">
        <v>35</v>
      </c>
      <c r="X24" s="31">
        <v>43355000</v>
      </c>
      <c r="Y24" s="34">
        <f t="shared" si="0"/>
        <v>43.354999999999997</v>
      </c>
    </row>
    <row r="25" spans="2:25">
      <c r="B25" s="6" t="s">
        <v>15</v>
      </c>
      <c r="C25" s="22">
        <v>1116247500</v>
      </c>
      <c r="E25" s="6" t="s">
        <v>16</v>
      </c>
      <c r="F25" s="29">
        <v>0.16040354502228085</v>
      </c>
      <c r="H25" s="55" t="s">
        <v>986</v>
      </c>
      <c r="I25" s="27">
        <v>6560</v>
      </c>
      <c r="J25" s="27">
        <v>10060</v>
      </c>
      <c r="K25" s="27">
        <v>9640</v>
      </c>
      <c r="L25" s="27">
        <v>8470</v>
      </c>
      <c r="M25" s="27">
        <v>11020</v>
      </c>
      <c r="N25" s="27">
        <v>10800</v>
      </c>
      <c r="O25" s="27">
        <v>9420</v>
      </c>
      <c r="P25" s="27">
        <v>65970</v>
      </c>
      <c r="V25" s="4" t="s">
        <v>432</v>
      </c>
      <c r="W25" t="s">
        <v>12</v>
      </c>
      <c r="X25" s="31">
        <v>21500000</v>
      </c>
      <c r="Y25" s="34">
        <f t="shared" si="0"/>
        <v>21.5</v>
      </c>
    </row>
    <row r="26" spans="2:25">
      <c r="B26" s="6" t="s">
        <v>8</v>
      </c>
      <c r="C26" s="22">
        <v>1170500000</v>
      </c>
      <c r="E26" s="6" t="s">
        <v>19</v>
      </c>
      <c r="F26" s="29">
        <v>0.14216186611566134</v>
      </c>
      <c r="H26" s="55" t="s">
        <v>987</v>
      </c>
      <c r="I26" s="27">
        <v>7960</v>
      </c>
      <c r="J26" s="27">
        <v>9410</v>
      </c>
      <c r="K26" s="27">
        <v>10625</v>
      </c>
      <c r="L26" s="27">
        <v>11025</v>
      </c>
      <c r="M26" s="27">
        <v>11650</v>
      </c>
      <c r="N26" s="27">
        <v>10830</v>
      </c>
      <c r="O26" s="27">
        <v>9840</v>
      </c>
      <c r="P26" s="27">
        <v>71340</v>
      </c>
      <c r="V26" s="4" t="s">
        <v>433</v>
      </c>
      <c r="W26" t="s">
        <v>15</v>
      </c>
      <c r="X26" s="31">
        <v>26730000</v>
      </c>
      <c r="Y26" s="34">
        <f t="shared" si="0"/>
        <v>26.73</v>
      </c>
    </row>
    <row r="27" spans="2:25">
      <c r="B27" s="6" t="s">
        <v>35</v>
      </c>
      <c r="C27" s="22">
        <v>1181750000</v>
      </c>
      <c r="E27" s="6" t="s">
        <v>6</v>
      </c>
      <c r="F27" s="29">
        <v>0.15392466827653165</v>
      </c>
      <c r="H27" s="55" t="s">
        <v>988</v>
      </c>
      <c r="I27" s="27">
        <v>7200</v>
      </c>
      <c r="J27" s="27">
        <v>8550</v>
      </c>
      <c r="K27" s="27">
        <v>10300</v>
      </c>
      <c r="L27" s="27">
        <v>7300</v>
      </c>
      <c r="M27" s="27">
        <v>10550</v>
      </c>
      <c r="N27" s="27">
        <v>9550</v>
      </c>
      <c r="O27" s="27">
        <v>12050</v>
      </c>
      <c r="P27" s="27">
        <v>65500</v>
      </c>
      <c r="V27" s="4" t="s">
        <v>723</v>
      </c>
      <c r="W27" t="s">
        <v>18</v>
      </c>
      <c r="X27" s="31">
        <v>29450000</v>
      </c>
      <c r="Y27" s="34">
        <f t="shared" si="0"/>
        <v>29.45</v>
      </c>
    </row>
    <row r="28" spans="2:25">
      <c r="B28" s="24" t="s">
        <v>980</v>
      </c>
      <c r="C28" s="26">
        <v>8966755000</v>
      </c>
      <c r="E28" s="6" t="s">
        <v>13</v>
      </c>
      <c r="F28" s="29">
        <v>0.14362443675471134</v>
      </c>
      <c r="H28" s="55" t="s">
        <v>989</v>
      </c>
      <c r="I28" s="27">
        <v>5120</v>
      </c>
      <c r="J28" s="27">
        <v>12815</v>
      </c>
      <c r="K28" s="27">
        <v>10800</v>
      </c>
      <c r="L28" s="27">
        <v>12930</v>
      </c>
      <c r="M28" s="27">
        <v>13260</v>
      </c>
      <c r="N28" s="27">
        <v>9100</v>
      </c>
      <c r="O28" s="27">
        <v>11890</v>
      </c>
      <c r="P28" s="27">
        <v>75915</v>
      </c>
      <c r="V28" s="4" t="s">
        <v>724</v>
      </c>
      <c r="W28" t="s">
        <v>8</v>
      </c>
      <c r="X28" s="31">
        <v>30000000</v>
      </c>
      <c r="Y28" s="34">
        <f t="shared" si="0"/>
        <v>30</v>
      </c>
    </row>
    <row r="29" spans="2:25">
      <c r="E29" s="6" t="s">
        <v>10</v>
      </c>
      <c r="F29" s="29">
        <v>0.164237347208046</v>
      </c>
      <c r="H29" s="55" t="s">
        <v>990</v>
      </c>
      <c r="I29" s="27">
        <v>7840</v>
      </c>
      <c r="J29" s="27">
        <v>8650</v>
      </c>
      <c r="K29" s="27">
        <v>12330</v>
      </c>
      <c r="L29" s="27">
        <v>6460</v>
      </c>
      <c r="M29" s="27">
        <v>10545</v>
      </c>
      <c r="N29" s="27">
        <v>10230</v>
      </c>
      <c r="O29" s="27">
        <v>9560</v>
      </c>
      <c r="P29" s="27">
        <v>65615</v>
      </c>
      <c r="V29" s="4" t="s">
        <v>725</v>
      </c>
      <c r="W29" t="s">
        <v>15</v>
      </c>
      <c r="X29" s="31">
        <v>24975000</v>
      </c>
      <c r="Y29" s="34">
        <f t="shared" si="0"/>
        <v>24.975000000000001</v>
      </c>
    </row>
    <row r="30" spans="2:25">
      <c r="E30" s="24" t="s">
        <v>980</v>
      </c>
      <c r="F30" s="30">
        <v>1</v>
      </c>
      <c r="H30" s="55" t="s">
        <v>991</v>
      </c>
      <c r="I30" s="27">
        <v>4680</v>
      </c>
      <c r="J30" s="27">
        <v>11320</v>
      </c>
      <c r="K30" s="27">
        <v>12490</v>
      </c>
      <c r="L30" s="27">
        <v>8480</v>
      </c>
      <c r="M30" s="27">
        <v>6840</v>
      </c>
      <c r="N30" s="27">
        <v>10410</v>
      </c>
      <c r="O30" s="27">
        <v>11060</v>
      </c>
      <c r="P30" s="27">
        <v>65280</v>
      </c>
      <c r="V30" s="4" t="s">
        <v>726</v>
      </c>
      <c r="W30" t="s">
        <v>12</v>
      </c>
      <c r="X30" s="31">
        <v>31500000</v>
      </c>
      <c r="Y30" s="34">
        <f t="shared" si="0"/>
        <v>31.5</v>
      </c>
    </row>
    <row r="31" spans="2:25">
      <c r="H31" s="55" t="s">
        <v>992</v>
      </c>
      <c r="I31" s="27">
        <v>6760</v>
      </c>
      <c r="J31" s="27">
        <v>11310</v>
      </c>
      <c r="K31" s="27">
        <v>9480</v>
      </c>
      <c r="L31" s="27">
        <v>11810</v>
      </c>
      <c r="M31" s="27">
        <v>10320</v>
      </c>
      <c r="N31" s="27">
        <v>9460</v>
      </c>
      <c r="O31" s="27">
        <v>12140</v>
      </c>
      <c r="P31" s="27">
        <v>71280</v>
      </c>
      <c r="V31" s="4" t="s">
        <v>727</v>
      </c>
      <c r="W31" t="s">
        <v>21</v>
      </c>
      <c r="X31" s="31">
        <v>32450000</v>
      </c>
      <c r="Y31" s="34">
        <f t="shared" si="0"/>
        <v>32.450000000000003</v>
      </c>
    </row>
    <row r="32" spans="2:25">
      <c r="E32" s="23" t="s">
        <v>995</v>
      </c>
      <c r="F32" s="23" t="s">
        <v>1013</v>
      </c>
      <c r="H32" s="24" t="s">
        <v>980</v>
      </c>
      <c r="I32" s="28">
        <v>74040</v>
      </c>
      <c r="J32" s="28">
        <v>115275</v>
      </c>
      <c r="K32" s="28">
        <v>128865</v>
      </c>
      <c r="L32" s="28">
        <v>114210</v>
      </c>
      <c r="M32" s="28">
        <v>123660</v>
      </c>
      <c r="N32" s="28">
        <v>115385</v>
      </c>
      <c r="O32" s="28">
        <v>131945</v>
      </c>
      <c r="P32" s="28">
        <v>803380</v>
      </c>
      <c r="V32" s="4" t="s">
        <v>728</v>
      </c>
      <c r="W32" t="s">
        <v>24</v>
      </c>
      <c r="X32" s="31">
        <v>15300000</v>
      </c>
      <c r="Y32" s="34">
        <f t="shared" si="0"/>
        <v>15.3</v>
      </c>
    </row>
    <row r="33" spans="5:25">
      <c r="E33" s="6" t="s">
        <v>25</v>
      </c>
      <c r="F33" s="35">
        <v>74040</v>
      </c>
      <c r="H33"/>
      <c r="V33" s="4" t="s">
        <v>729</v>
      </c>
      <c r="W33" t="s">
        <v>18</v>
      </c>
      <c r="X33" s="31">
        <v>25175000</v>
      </c>
      <c r="Y33" s="34">
        <f t="shared" si="0"/>
        <v>25.175000000000001</v>
      </c>
    </row>
    <row r="34" spans="5:25">
      <c r="E34" s="6" t="s">
        <v>22</v>
      </c>
      <c r="F34" s="35">
        <v>115275</v>
      </c>
      <c r="H34"/>
      <c r="V34" s="4" t="s">
        <v>730</v>
      </c>
      <c r="W34" t="s">
        <v>27</v>
      </c>
      <c r="X34" s="31">
        <v>16387500</v>
      </c>
      <c r="Y34" s="34">
        <f t="shared" si="0"/>
        <v>16.387499999999999</v>
      </c>
    </row>
    <row r="35" spans="5:25">
      <c r="E35" s="6" t="s">
        <v>16</v>
      </c>
      <c r="F35" s="35">
        <v>128865</v>
      </c>
      <c r="H35"/>
      <c r="V35" s="4" t="s">
        <v>731</v>
      </c>
      <c r="W35" t="s">
        <v>29</v>
      </c>
      <c r="X35" s="31">
        <v>28475000</v>
      </c>
      <c r="Y35" s="34">
        <f t="shared" si="0"/>
        <v>28.475000000000001</v>
      </c>
    </row>
    <row r="36" spans="5:25">
      <c r="E36" s="6" t="s">
        <v>19</v>
      </c>
      <c r="F36" s="35">
        <v>114210</v>
      </c>
      <c r="H36"/>
      <c r="V36" s="4" t="s">
        <v>732</v>
      </c>
      <c r="W36" t="s">
        <v>8</v>
      </c>
      <c r="X36" s="31">
        <v>26250000</v>
      </c>
      <c r="Y36" s="34">
        <f t="shared" si="0"/>
        <v>26.25</v>
      </c>
    </row>
    <row r="37" spans="5:25">
      <c r="E37" s="6" t="s">
        <v>6</v>
      </c>
      <c r="F37" s="35">
        <v>123660</v>
      </c>
      <c r="H37"/>
      <c r="V37" s="4" t="s">
        <v>733</v>
      </c>
      <c r="W37" t="s">
        <v>35</v>
      </c>
      <c r="X37" s="31">
        <v>56550000</v>
      </c>
      <c r="Y37" s="34">
        <f t="shared" si="0"/>
        <v>56.55</v>
      </c>
    </row>
    <row r="38" spans="5:25">
      <c r="E38" s="6" t="s">
        <v>13</v>
      </c>
      <c r="F38" s="35">
        <v>115385</v>
      </c>
      <c r="H38"/>
      <c r="V38" s="4" t="s">
        <v>734</v>
      </c>
      <c r="W38" t="s">
        <v>31</v>
      </c>
      <c r="X38" s="31">
        <v>30000000</v>
      </c>
      <c r="Y38" s="34">
        <f t="shared" si="0"/>
        <v>30</v>
      </c>
    </row>
    <row r="39" spans="5:25">
      <c r="E39" s="6" t="s">
        <v>10</v>
      </c>
      <c r="F39" s="35">
        <v>131945</v>
      </c>
      <c r="H39"/>
      <c r="V39" s="4" t="s">
        <v>735</v>
      </c>
      <c r="W39" t="s">
        <v>15</v>
      </c>
      <c r="X39" s="31">
        <v>24030000</v>
      </c>
      <c r="Y39" s="34">
        <f t="shared" si="0"/>
        <v>24.03</v>
      </c>
    </row>
    <row r="40" spans="5:25">
      <c r="E40" s="24" t="s">
        <v>980</v>
      </c>
      <c r="F40" s="36">
        <v>803380</v>
      </c>
      <c r="H40"/>
      <c r="V40" s="4" t="s">
        <v>736</v>
      </c>
      <c r="W40" t="s">
        <v>12</v>
      </c>
      <c r="X40" s="31">
        <v>32000000</v>
      </c>
      <c r="Y40" s="34">
        <f t="shared" si="0"/>
        <v>32</v>
      </c>
    </row>
    <row r="41" spans="5:25">
      <c r="H41"/>
      <c r="V41" s="4" t="s">
        <v>737</v>
      </c>
      <c r="W41" t="s">
        <v>8</v>
      </c>
      <c r="X41" s="31">
        <v>37250000</v>
      </c>
      <c r="Y41" s="34">
        <f t="shared" si="0"/>
        <v>37.25</v>
      </c>
    </row>
    <row r="42" spans="5:25">
      <c r="H42"/>
      <c r="V42" s="4" t="s">
        <v>738</v>
      </c>
      <c r="W42" t="s">
        <v>18</v>
      </c>
      <c r="X42" s="31">
        <v>21850000</v>
      </c>
      <c r="Y42" s="34">
        <f t="shared" si="0"/>
        <v>21.85</v>
      </c>
    </row>
    <row r="43" spans="5:25">
      <c r="H43"/>
      <c r="V43" s="4" t="s">
        <v>739</v>
      </c>
      <c r="W43" t="s">
        <v>24</v>
      </c>
      <c r="X43" s="31">
        <v>27900000</v>
      </c>
      <c r="Y43" s="34">
        <f t="shared" si="0"/>
        <v>27.9</v>
      </c>
    </row>
    <row r="44" spans="5:25">
      <c r="H44"/>
      <c r="V44" s="4" t="s">
        <v>740</v>
      </c>
      <c r="W44" t="s">
        <v>33</v>
      </c>
      <c r="X44" s="31">
        <v>16800000</v>
      </c>
      <c r="Y44" s="34">
        <f t="shared" si="0"/>
        <v>16.8</v>
      </c>
    </row>
    <row r="45" spans="5:25">
      <c r="H45"/>
      <c r="V45" s="4" t="s">
        <v>741</v>
      </c>
      <c r="W45" t="s">
        <v>21</v>
      </c>
      <c r="X45" s="31">
        <v>30250000</v>
      </c>
      <c r="Y45" s="34">
        <f t="shared" si="0"/>
        <v>30.25</v>
      </c>
    </row>
    <row r="46" spans="5:25">
      <c r="H46"/>
      <c r="V46" s="4" t="s">
        <v>742</v>
      </c>
      <c r="W46" t="s">
        <v>35</v>
      </c>
      <c r="X46" s="31">
        <v>51475000</v>
      </c>
      <c r="Y46" s="34">
        <f t="shared" si="0"/>
        <v>51.475000000000001</v>
      </c>
    </row>
    <row r="47" spans="5:25">
      <c r="H47"/>
      <c r="V47" s="4" t="s">
        <v>743</v>
      </c>
      <c r="W47" t="s">
        <v>12</v>
      </c>
      <c r="X47" s="31">
        <v>29000000</v>
      </c>
      <c r="Y47" s="34">
        <f t="shared" si="0"/>
        <v>29</v>
      </c>
    </row>
    <row r="48" spans="5:25">
      <c r="H48"/>
      <c r="V48" s="4" t="s">
        <v>744</v>
      </c>
      <c r="W48" t="s">
        <v>31</v>
      </c>
      <c r="X48" s="31">
        <v>31200000</v>
      </c>
      <c r="Y48" s="34">
        <f t="shared" si="0"/>
        <v>31.2</v>
      </c>
    </row>
    <row r="49" spans="8:25">
      <c r="H49"/>
      <c r="V49" s="4" t="s">
        <v>745</v>
      </c>
      <c r="W49" t="s">
        <v>18</v>
      </c>
      <c r="X49" s="31">
        <v>32775000</v>
      </c>
      <c r="Y49" s="34">
        <f t="shared" si="0"/>
        <v>32.774999999999999</v>
      </c>
    </row>
    <row r="50" spans="8:25">
      <c r="H50"/>
      <c r="V50" s="4" t="s">
        <v>746</v>
      </c>
      <c r="W50" t="s">
        <v>27</v>
      </c>
      <c r="X50" s="31">
        <v>20125000</v>
      </c>
      <c r="Y50" s="34">
        <f t="shared" si="0"/>
        <v>20.125</v>
      </c>
    </row>
    <row r="51" spans="8:25">
      <c r="H51"/>
      <c r="V51" s="4" t="s">
        <v>747</v>
      </c>
      <c r="W51" t="s">
        <v>29</v>
      </c>
      <c r="X51" s="31">
        <v>25925000</v>
      </c>
      <c r="Y51" s="34">
        <f t="shared" si="0"/>
        <v>25.925000000000001</v>
      </c>
    </row>
    <row r="52" spans="8:25">
      <c r="H52"/>
      <c r="V52" s="4" t="s">
        <v>748</v>
      </c>
      <c r="W52" t="s">
        <v>8</v>
      </c>
      <c r="X52" s="31">
        <v>35625000</v>
      </c>
      <c r="Y52" s="34">
        <f t="shared" si="0"/>
        <v>35.625</v>
      </c>
    </row>
    <row r="53" spans="8:25">
      <c r="H53"/>
      <c r="V53" s="4" t="s">
        <v>434</v>
      </c>
      <c r="W53" t="s">
        <v>8</v>
      </c>
      <c r="X53" s="31">
        <v>26250000</v>
      </c>
      <c r="Y53" s="34">
        <f t="shared" si="0"/>
        <v>26.25</v>
      </c>
    </row>
    <row r="54" spans="8:25">
      <c r="H54"/>
      <c r="V54" s="4" t="s">
        <v>435</v>
      </c>
      <c r="W54" t="s">
        <v>12</v>
      </c>
      <c r="X54" s="31">
        <v>32000000</v>
      </c>
      <c r="Y54" s="34">
        <f t="shared" si="0"/>
        <v>32</v>
      </c>
    </row>
    <row r="55" spans="8:25">
      <c r="H55"/>
      <c r="V55" s="4" t="s">
        <v>436</v>
      </c>
      <c r="W55" t="s">
        <v>15</v>
      </c>
      <c r="X55" s="31">
        <v>24975000</v>
      </c>
      <c r="Y55" s="34">
        <f t="shared" si="0"/>
        <v>24.975000000000001</v>
      </c>
    </row>
    <row r="56" spans="8:25">
      <c r="H56"/>
      <c r="V56" s="4" t="s">
        <v>437</v>
      </c>
      <c r="W56" t="s">
        <v>18</v>
      </c>
      <c r="X56" s="31">
        <v>22800000</v>
      </c>
      <c r="Y56" s="34">
        <f t="shared" si="0"/>
        <v>22.8</v>
      </c>
    </row>
    <row r="57" spans="8:25">
      <c r="H57"/>
      <c r="V57" s="4" t="s">
        <v>438</v>
      </c>
      <c r="W57" t="s">
        <v>21</v>
      </c>
      <c r="X57" s="31">
        <v>32450000</v>
      </c>
      <c r="Y57" s="34">
        <f t="shared" si="0"/>
        <v>32.450000000000003</v>
      </c>
    </row>
    <row r="58" spans="8:25">
      <c r="H58"/>
      <c r="V58" s="4" t="s">
        <v>439</v>
      </c>
      <c r="W58" t="s">
        <v>24</v>
      </c>
      <c r="X58" s="31">
        <v>27900000</v>
      </c>
      <c r="Y58" s="34">
        <f t="shared" si="0"/>
        <v>27.9</v>
      </c>
    </row>
    <row r="59" spans="8:25">
      <c r="H59"/>
      <c r="V59" s="4" t="s">
        <v>440</v>
      </c>
      <c r="W59" t="s">
        <v>27</v>
      </c>
      <c r="X59" s="31">
        <v>17250000</v>
      </c>
      <c r="Y59" s="34">
        <f t="shared" si="0"/>
        <v>17.25</v>
      </c>
    </row>
    <row r="60" spans="8:25">
      <c r="H60"/>
      <c r="V60" s="4" t="s">
        <v>441</v>
      </c>
      <c r="W60" t="s">
        <v>29</v>
      </c>
      <c r="X60" s="31">
        <v>22950000</v>
      </c>
      <c r="Y60" s="34">
        <f t="shared" si="0"/>
        <v>22.95</v>
      </c>
    </row>
    <row r="61" spans="8:25">
      <c r="H61"/>
      <c r="V61" s="4" t="s">
        <v>442</v>
      </c>
      <c r="W61" t="s">
        <v>31</v>
      </c>
      <c r="X61" s="31">
        <v>23760000</v>
      </c>
      <c r="Y61" s="34">
        <f t="shared" si="0"/>
        <v>23.76</v>
      </c>
    </row>
    <row r="62" spans="8:25">
      <c r="H62"/>
      <c r="V62" s="4" t="s">
        <v>443</v>
      </c>
      <c r="W62" t="s">
        <v>35</v>
      </c>
      <c r="X62" s="31">
        <v>47850000</v>
      </c>
      <c r="Y62" s="34">
        <f t="shared" si="0"/>
        <v>47.85</v>
      </c>
    </row>
    <row r="63" spans="8:25">
      <c r="H63"/>
      <c r="V63" s="4" t="s">
        <v>444</v>
      </c>
      <c r="W63" t="s">
        <v>8</v>
      </c>
      <c r="X63" s="31">
        <v>26312500</v>
      </c>
      <c r="Y63" s="34">
        <f t="shared" si="0"/>
        <v>26.3125</v>
      </c>
    </row>
    <row r="64" spans="8:25">
      <c r="H64"/>
      <c r="V64" s="4" t="s">
        <v>445</v>
      </c>
      <c r="W64" t="s">
        <v>12</v>
      </c>
      <c r="X64" s="31">
        <v>28700000</v>
      </c>
      <c r="Y64" s="34">
        <f t="shared" si="0"/>
        <v>28.7</v>
      </c>
    </row>
    <row r="65" spans="8:25">
      <c r="H65"/>
      <c r="V65" s="4" t="s">
        <v>446</v>
      </c>
      <c r="W65" t="s">
        <v>15</v>
      </c>
      <c r="X65" s="31">
        <v>29700000</v>
      </c>
      <c r="Y65" s="34">
        <f t="shared" si="0"/>
        <v>29.7</v>
      </c>
    </row>
    <row r="66" spans="8:25">
      <c r="H66"/>
      <c r="V66" s="4" t="s">
        <v>447</v>
      </c>
      <c r="W66" t="s">
        <v>18</v>
      </c>
      <c r="X66" s="31">
        <v>23750000</v>
      </c>
      <c r="Y66" s="34">
        <f t="shared" si="0"/>
        <v>23.75</v>
      </c>
    </row>
    <row r="67" spans="8:25">
      <c r="H67"/>
      <c r="V67" s="4" t="s">
        <v>448</v>
      </c>
      <c r="W67" t="s">
        <v>21</v>
      </c>
      <c r="X67" s="31">
        <v>34100000</v>
      </c>
      <c r="Y67" s="34">
        <f t="shared" si="0"/>
        <v>34.1</v>
      </c>
    </row>
    <row r="68" spans="8:25">
      <c r="H68"/>
      <c r="V68" s="4" t="s">
        <v>449</v>
      </c>
      <c r="W68" t="s">
        <v>24</v>
      </c>
      <c r="X68" s="31">
        <v>26100000</v>
      </c>
      <c r="Y68" s="34">
        <f t="shared" ref="Y68:Y131" si="1">X68/1000000</f>
        <v>26.1</v>
      </c>
    </row>
    <row r="69" spans="8:25">
      <c r="H69"/>
      <c r="V69" s="4" t="s">
        <v>450</v>
      </c>
      <c r="W69" t="s">
        <v>27</v>
      </c>
      <c r="X69" s="31">
        <v>19550000</v>
      </c>
      <c r="Y69" s="34">
        <f t="shared" si="1"/>
        <v>19.55</v>
      </c>
    </row>
    <row r="70" spans="8:25">
      <c r="H70"/>
      <c r="V70" s="4" t="s">
        <v>451</v>
      </c>
      <c r="W70" t="s">
        <v>29</v>
      </c>
      <c r="X70" s="31">
        <v>22100000</v>
      </c>
      <c r="Y70" s="34">
        <f t="shared" si="1"/>
        <v>22.1</v>
      </c>
    </row>
    <row r="71" spans="8:25">
      <c r="H71"/>
      <c r="V71" s="4" t="s">
        <v>452</v>
      </c>
      <c r="W71" t="s">
        <v>31</v>
      </c>
      <c r="X71" s="31">
        <v>28800000</v>
      </c>
      <c r="Y71" s="34">
        <f t="shared" si="1"/>
        <v>28.8</v>
      </c>
    </row>
    <row r="72" spans="8:25">
      <c r="H72"/>
      <c r="V72" s="4" t="s">
        <v>453</v>
      </c>
      <c r="W72" t="s">
        <v>8</v>
      </c>
      <c r="X72" s="31">
        <v>38750000</v>
      </c>
      <c r="Y72" s="34">
        <f t="shared" si="1"/>
        <v>38.75</v>
      </c>
    </row>
    <row r="73" spans="8:25">
      <c r="H73"/>
      <c r="V73" s="4" t="s">
        <v>454</v>
      </c>
      <c r="W73" t="s">
        <v>15</v>
      </c>
      <c r="X73" s="31">
        <v>30375000</v>
      </c>
      <c r="Y73" s="34">
        <f t="shared" si="1"/>
        <v>30.375</v>
      </c>
    </row>
    <row r="74" spans="8:25">
      <c r="H74"/>
      <c r="V74" s="4" t="s">
        <v>455</v>
      </c>
      <c r="W74" t="s">
        <v>35</v>
      </c>
      <c r="X74" s="31">
        <v>50025000</v>
      </c>
      <c r="Y74" s="34">
        <f t="shared" si="1"/>
        <v>50.024999999999999</v>
      </c>
    </row>
    <row r="75" spans="8:25">
      <c r="H75"/>
      <c r="V75" s="4" t="s">
        <v>456</v>
      </c>
      <c r="W75" t="s">
        <v>18</v>
      </c>
      <c r="X75" s="31">
        <v>26600000</v>
      </c>
      <c r="Y75" s="34">
        <f t="shared" si="1"/>
        <v>26.6</v>
      </c>
    </row>
    <row r="76" spans="8:25">
      <c r="H76"/>
      <c r="V76" s="4" t="s">
        <v>457</v>
      </c>
      <c r="W76" t="s">
        <v>12</v>
      </c>
      <c r="X76" s="31">
        <v>26000000</v>
      </c>
      <c r="Y76" s="34">
        <f t="shared" si="1"/>
        <v>26</v>
      </c>
    </row>
    <row r="77" spans="8:25">
      <c r="H77"/>
      <c r="V77" s="4" t="s">
        <v>458</v>
      </c>
      <c r="W77" t="s">
        <v>21</v>
      </c>
      <c r="X77" s="31">
        <v>32450000</v>
      </c>
      <c r="Y77" s="34">
        <f t="shared" si="1"/>
        <v>32.450000000000003</v>
      </c>
    </row>
    <row r="78" spans="8:25">
      <c r="H78"/>
      <c r="V78" s="4" t="s">
        <v>459</v>
      </c>
      <c r="W78" t="s">
        <v>8</v>
      </c>
      <c r="X78" s="31">
        <v>23125000</v>
      </c>
      <c r="Y78" s="34">
        <f t="shared" si="1"/>
        <v>23.125</v>
      </c>
    </row>
    <row r="79" spans="8:25">
      <c r="H79"/>
      <c r="V79" s="4" t="s">
        <v>460</v>
      </c>
      <c r="W79" t="s">
        <v>12</v>
      </c>
      <c r="X79" s="31">
        <v>24500000</v>
      </c>
      <c r="Y79" s="34">
        <f t="shared" si="1"/>
        <v>24.5</v>
      </c>
    </row>
    <row r="80" spans="8:25">
      <c r="H80"/>
      <c r="V80" s="4" t="s">
        <v>749</v>
      </c>
      <c r="W80" t="s">
        <v>15</v>
      </c>
      <c r="X80" s="31">
        <v>28350000</v>
      </c>
      <c r="Y80" s="34">
        <f t="shared" si="1"/>
        <v>28.35</v>
      </c>
    </row>
    <row r="81" spans="8:25">
      <c r="H81"/>
      <c r="V81" s="4" t="s">
        <v>750</v>
      </c>
      <c r="W81" t="s">
        <v>18</v>
      </c>
      <c r="X81" s="31">
        <v>18810000</v>
      </c>
      <c r="Y81" s="34">
        <f t="shared" si="1"/>
        <v>18.809999999999999</v>
      </c>
    </row>
    <row r="82" spans="8:25">
      <c r="H82"/>
      <c r="V82" s="4" t="s">
        <v>751</v>
      </c>
      <c r="W82" t="s">
        <v>21</v>
      </c>
      <c r="X82" s="31">
        <v>30250000</v>
      </c>
      <c r="Y82" s="34">
        <f t="shared" si="1"/>
        <v>30.25</v>
      </c>
    </row>
    <row r="83" spans="8:25">
      <c r="H83"/>
      <c r="V83" s="4" t="s">
        <v>752</v>
      </c>
      <c r="W83" t="s">
        <v>24</v>
      </c>
      <c r="X83" s="31">
        <v>20970000</v>
      </c>
      <c r="Y83" s="34">
        <f t="shared" si="1"/>
        <v>20.97</v>
      </c>
    </row>
    <row r="84" spans="8:25">
      <c r="H84"/>
      <c r="V84" s="4" t="s">
        <v>753</v>
      </c>
      <c r="W84" t="s">
        <v>27</v>
      </c>
      <c r="X84" s="31">
        <v>18975000</v>
      </c>
      <c r="Y84" s="34">
        <f t="shared" si="1"/>
        <v>18.975000000000001</v>
      </c>
    </row>
    <row r="85" spans="8:25">
      <c r="H85"/>
      <c r="V85" s="4" t="s">
        <v>754</v>
      </c>
      <c r="W85" t="s">
        <v>29</v>
      </c>
      <c r="X85" s="31">
        <v>24565000</v>
      </c>
      <c r="Y85" s="34">
        <f t="shared" si="1"/>
        <v>24.565000000000001</v>
      </c>
    </row>
    <row r="86" spans="8:25">
      <c r="H86"/>
      <c r="V86" s="4" t="s">
        <v>755</v>
      </c>
      <c r="W86" t="s">
        <v>31</v>
      </c>
      <c r="X86" s="31">
        <v>37800000</v>
      </c>
      <c r="Y86" s="34">
        <f t="shared" si="1"/>
        <v>37.799999999999997</v>
      </c>
    </row>
    <row r="87" spans="8:25">
      <c r="H87"/>
      <c r="V87" s="4" t="s">
        <v>756</v>
      </c>
      <c r="W87" t="s">
        <v>8</v>
      </c>
      <c r="X87" s="31">
        <v>24875000</v>
      </c>
      <c r="Y87" s="34">
        <f t="shared" si="1"/>
        <v>24.875</v>
      </c>
    </row>
    <row r="88" spans="8:25">
      <c r="H88"/>
      <c r="V88" s="4" t="s">
        <v>757</v>
      </c>
      <c r="W88" t="s">
        <v>12</v>
      </c>
      <c r="X88" s="31">
        <v>22100000</v>
      </c>
      <c r="Y88" s="34">
        <f t="shared" si="1"/>
        <v>22.1</v>
      </c>
    </row>
    <row r="89" spans="8:25">
      <c r="H89"/>
      <c r="V89" s="4" t="s">
        <v>758</v>
      </c>
      <c r="W89" t="s">
        <v>33</v>
      </c>
      <c r="X89" s="31">
        <v>19635000</v>
      </c>
      <c r="Y89" s="34">
        <f t="shared" si="1"/>
        <v>19.635000000000002</v>
      </c>
    </row>
    <row r="90" spans="8:25">
      <c r="H90"/>
      <c r="V90" s="4" t="s">
        <v>759</v>
      </c>
      <c r="W90" t="s">
        <v>35</v>
      </c>
      <c r="X90" s="31">
        <v>46400000</v>
      </c>
      <c r="Y90" s="34">
        <f t="shared" si="1"/>
        <v>46.4</v>
      </c>
    </row>
    <row r="91" spans="8:25">
      <c r="H91"/>
      <c r="V91" s="4" t="s">
        <v>760</v>
      </c>
      <c r="W91" t="s">
        <v>15</v>
      </c>
      <c r="X91" s="31">
        <v>24030000</v>
      </c>
      <c r="Y91" s="34">
        <f t="shared" si="1"/>
        <v>24.03</v>
      </c>
    </row>
    <row r="92" spans="8:25">
      <c r="H92"/>
      <c r="V92" s="4" t="s">
        <v>761</v>
      </c>
      <c r="W92" t="s">
        <v>21</v>
      </c>
      <c r="X92" s="31">
        <v>29040000</v>
      </c>
      <c r="Y92" s="34">
        <f t="shared" si="1"/>
        <v>29.04</v>
      </c>
    </row>
    <row r="93" spans="8:25">
      <c r="H93"/>
      <c r="V93" s="4" t="s">
        <v>762</v>
      </c>
      <c r="W93" t="s">
        <v>29</v>
      </c>
      <c r="X93" s="31">
        <v>25585000</v>
      </c>
      <c r="Y93" s="34">
        <f t="shared" si="1"/>
        <v>25.585000000000001</v>
      </c>
    </row>
    <row r="94" spans="8:25">
      <c r="H94"/>
      <c r="V94" s="4" t="s">
        <v>763</v>
      </c>
      <c r="W94" t="s">
        <v>18</v>
      </c>
      <c r="X94" s="31">
        <v>20805000</v>
      </c>
      <c r="Y94" s="34">
        <f t="shared" si="1"/>
        <v>20.805</v>
      </c>
    </row>
    <row r="95" spans="8:25">
      <c r="H95"/>
      <c r="V95" s="4" t="s">
        <v>764</v>
      </c>
      <c r="W95" t="s">
        <v>31</v>
      </c>
      <c r="X95" s="31">
        <v>29280000</v>
      </c>
      <c r="Y95" s="34">
        <f t="shared" si="1"/>
        <v>29.28</v>
      </c>
    </row>
    <row r="96" spans="8:25">
      <c r="H96"/>
      <c r="V96" s="4" t="s">
        <v>765</v>
      </c>
      <c r="W96" t="s">
        <v>24</v>
      </c>
      <c r="X96" s="31">
        <v>20790000</v>
      </c>
      <c r="Y96" s="34">
        <f t="shared" si="1"/>
        <v>20.79</v>
      </c>
    </row>
    <row r="97" spans="8:25">
      <c r="H97"/>
      <c r="V97" s="4" t="s">
        <v>766</v>
      </c>
      <c r="W97" t="s">
        <v>8</v>
      </c>
      <c r="X97" s="31">
        <v>36875000</v>
      </c>
      <c r="Y97" s="34">
        <f t="shared" si="1"/>
        <v>36.875</v>
      </c>
    </row>
    <row r="98" spans="8:25">
      <c r="H98"/>
      <c r="V98" s="4" t="s">
        <v>767</v>
      </c>
      <c r="W98" t="s">
        <v>12</v>
      </c>
      <c r="X98" s="31">
        <v>20750000</v>
      </c>
      <c r="Y98" s="34">
        <f t="shared" si="1"/>
        <v>20.75</v>
      </c>
    </row>
    <row r="99" spans="8:25">
      <c r="H99"/>
      <c r="V99" s="4" t="s">
        <v>768</v>
      </c>
      <c r="W99" t="s">
        <v>33</v>
      </c>
      <c r="X99" s="31">
        <v>19740000</v>
      </c>
      <c r="Y99" s="34">
        <f t="shared" si="1"/>
        <v>19.739999999999998</v>
      </c>
    </row>
    <row r="100" spans="8:25">
      <c r="H100"/>
      <c r="V100" s="4" t="s">
        <v>769</v>
      </c>
      <c r="W100" t="s">
        <v>15</v>
      </c>
      <c r="X100" s="31">
        <v>34290000</v>
      </c>
      <c r="Y100" s="34">
        <f t="shared" si="1"/>
        <v>34.29</v>
      </c>
    </row>
    <row r="101" spans="8:25">
      <c r="H101"/>
      <c r="V101" s="4" t="s">
        <v>770</v>
      </c>
      <c r="W101" t="s">
        <v>35</v>
      </c>
      <c r="X101" s="31">
        <v>48720000</v>
      </c>
      <c r="Y101" s="34">
        <f t="shared" si="1"/>
        <v>48.72</v>
      </c>
    </row>
    <row r="102" spans="8:25">
      <c r="H102"/>
      <c r="V102" s="4" t="s">
        <v>771</v>
      </c>
      <c r="W102" t="s">
        <v>18</v>
      </c>
      <c r="X102" s="31">
        <v>19095000</v>
      </c>
      <c r="Y102" s="34">
        <f t="shared" si="1"/>
        <v>19.094999999999999</v>
      </c>
    </row>
    <row r="103" spans="8:25">
      <c r="H103"/>
      <c r="V103" s="4" t="s">
        <v>772</v>
      </c>
      <c r="W103" t="s">
        <v>21</v>
      </c>
      <c r="X103" s="31">
        <v>29425000</v>
      </c>
      <c r="Y103" s="34">
        <f t="shared" si="1"/>
        <v>29.425000000000001</v>
      </c>
    </row>
    <row r="104" spans="8:25">
      <c r="H104"/>
      <c r="V104" s="4" t="s">
        <v>461</v>
      </c>
      <c r="W104" t="s">
        <v>29</v>
      </c>
      <c r="X104" s="31">
        <v>18955000</v>
      </c>
      <c r="Y104" s="34">
        <f t="shared" si="1"/>
        <v>18.954999999999998</v>
      </c>
    </row>
    <row r="105" spans="8:25">
      <c r="H105"/>
      <c r="V105" s="4" t="s">
        <v>773</v>
      </c>
      <c r="W105" t="s">
        <v>8</v>
      </c>
      <c r="X105" s="31">
        <v>22750000</v>
      </c>
      <c r="Y105" s="34">
        <f t="shared" si="1"/>
        <v>22.75</v>
      </c>
    </row>
    <row r="106" spans="8:25">
      <c r="H106"/>
      <c r="V106" s="4" t="s">
        <v>774</v>
      </c>
      <c r="W106" t="s">
        <v>15</v>
      </c>
      <c r="X106" s="31">
        <v>34560000</v>
      </c>
      <c r="Y106" s="34">
        <f t="shared" si="1"/>
        <v>34.56</v>
      </c>
    </row>
    <row r="107" spans="8:25">
      <c r="H107"/>
      <c r="V107" s="4" t="s">
        <v>775</v>
      </c>
      <c r="W107" t="s">
        <v>12</v>
      </c>
      <c r="X107" s="31">
        <v>31000000</v>
      </c>
      <c r="Y107" s="34">
        <f t="shared" si="1"/>
        <v>31</v>
      </c>
    </row>
    <row r="108" spans="8:25">
      <c r="H108"/>
      <c r="V108" s="4" t="s">
        <v>776</v>
      </c>
      <c r="W108" t="s">
        <v>18</v>
      </c>
      <c r="X108" s="31">
        <v>13775000</v>
      </c>
      <c r="Y108" s="34">
        <f t="shared" si="1"/>
        <v>13.775</v>
      </c>
    </row>
    <row r="109" spans="8:25">
      <c r="H109"/>
      <c r="V109" s="4" t="s">
        <v>777</v>
      </c>
      <c r="W109" t="s">
        <v>24</v>
      </c>
      <c r="X109" s="31">
        <v>20520000</v>
      </c>
      <c r="Y109" s="34">
        <f t="shared" si="1"/>
        <v>20.52</v>
      </c>
    </row>
    <row r="110" spans="8:25">
      <c r="H110"/>
      <c r="V110" s="4" t="s">
        <v>778</v>
      </c>
      <c r="W110" t="s">
        <v>21</v>
      </c>
      <c r="X110" s="31">
        <v>30250000</v>
      </c>
      <c r="Y110" s="34">
        <f t="shared" si="1"/>
        <v>30.25</v>
      </c>
    </row>
    <row r="111" spans="8:25">
      <c r="H111"/>
      <c r="V111" s="4" t="s">
        <v>779</v>
      </c>
      <c r="W111" t="s">
        <v>27</v>
      </c>
      <c r="X111" s="31">
        <v>18860000</v>
      </c>
      <c r="Y111" s="34">
        <f t="shared" si="1"/>
        <v>18.86</v>
      </c>
    </row>
    <row r="112" spans="8:25">
      <c r="H112"/>
      <c r="V112" s="4" t="s">
        <v>780</v>
      </c>
      <c r="W112" t="s">
        <v>29</v>
      </c>
      <c r="X112" s="31">
        <v>25925000</v>
      </c>
      <c r="Y112" s="34">
        <f t="shared" si="1"/>
        <v>25.925000000000001</v>
      </c>
    </row>
    <row r="113" spans="8:25">
      <c r="H113"/>
      <c r="V113" s="4" t="s">
        <v>781</v>
      </c>
      <c r="W113" t="s">
        <v>35</v>
      </c>
      <c r="X113" s="31">
        <v>28710000</v>
      </c>
      <c r="Y113" s="34">
        <f t="shared" si="1"/>
        <v>28.71</v>
      </c>
    </row>
    <row r="114" spans="8:25">
      <c r="H114"/>
      <c r="V114" s="4" t="s">
        <v>782</v>
      </c>
      <c r="W114" t="s">
        <v>33</v>
      </c>
      <c r="X114" s="31">
        <v>22260000</v>
      </c>
      <c r="Y114" s="34">
        <f t="shared" si="1"/>
        <v>22.26</v>
      </c>
    </row>
    <row r="115" spans="8:25">
      <c r="H115"/>
      <c r="V115" s="4" t="s">
        <v>783</v>
      </c>
      <c r="W115" t="s">
        <v>12</v>
      </c>
      <c r="X115" s="31">
        <v>33400000</v>
      </c>
      <c r="Y115" s="34">
        <f t="shared" si="1"/>
        <v>33.4</v>
      </c>
    </row>
    <row r="116" spans="8:25">
      <c r="H116"/>
      <c r="V116" s="4" t="s">
        <v>784</v>
      </c>
      <c r="W116" t="s">
        <v>8</v>
      </c>
      <c r="X116" s="31">
        <v>36125000</v>
      </c>
      <c r="Y116" s="34">
        <f t="shared" si="1"/>
        <v>36.125</v>
      </c>
    </row>
    <row r="117" spans="8:25">
      <c r="H117"/>
      <c r="V117" s="4" t="s">
        <v>785</v>
      </c>
      <c r="W117" t="s">
        <v>15</v>
      </c>
      <c r="X117" s="31">
        <v>21195000</v>
      </c>
      <c r="Y117" s="34">
        <f t="shared" si="1"/>
        <v>21.195</v>
      </c>
    </row>
    <row r="118" spans="8:25">
      <c r="H118"/>
      <c r="V118" s="4" t="s">
        <v>786</v>
      </c>
      <c r="W118" t="s">
        <v>18</v>
      </c>
      <c r="X118" s="31">
        <v>20995000</v>
      </c>
      <c r="Y118" s="34">
        <f t="shared" si="1"/>
        <v>20.995000000000001</v>
      </c>
    </row>
    <row r="119" spans="8:25">
      <c r="H119"/>
      <c r="V119" s="4" t="s">
        <v>787</v>
      </c>
      <c r="W119" t="s">
        <v>21</v>
      </c>
      <c r="X119" s="31">
        <v>37400000</v>
      </c>
      <c r="Y119" s="34">
        <f t="shared" si="1"/>
        <v>37.4</v>
      </c>
    </row>
    <row r="120" spans="8:25">
      <c r="H120"/>
      <c r="V120" s="4" t="s">
        <v>788</v>
      </c>
      <c r="W120" t="s">
        <v>24</v>
      </c>
      <c r="X120" s="31">
        <v>24795000</v>
      </c>
      <c r="Y120" s="34">
        <f t="shared" si="1"/>
        <v>24.795000000000002</v>
      </c>
    </row>
    <row r="121" spans="8:25">
      <c r="H121"/>
      <c r="V121" s="4" t="s">
        <v>789</v>
      </c>
      <c r="W121" t="s">
        <v>35</v>
      </c>
      <c r="X121" s="31">
        <v>28782500</v>
      </c>
      <c r="Y121" s="34">
        <f t="shared" si="1"/>
        <v>28.782499999999999</v>
      </c>
    </row>
    <row r="122" spans="8:25">
      <c r="H122"/>
      <c r="V122" s="4" t="s">
        <v>790</v>
      </c>
      <c r="W122" t="s">
        <v>27</v>
      </c>
      <c r="X122" s="31">
        <v>28060000</v>
      </c>
      <c r="Y122" s="34">
        <f t="shared" si="1"/>
        <v>28.06</v>
      </c>
    </row>
    <row r="123" spans="8:25">
      <c r="H123"/>
      <c r="V123" s="4" t="s">
        <v>791</v>
      </c>
      <c r="W123" t="s">
        <v>12</v>
      </c>
      <c r="X123" s="31">
        <v>31100000</v>
      </c>
      <c r="Y123" s="34">
        <f t="shared" si="1"/>
        <v>31.1</v>
      </c>
    </row>
    <row r="124" spans="8:25">
      <c r="H124"/>
      <c r="V124" s="4" t="s">
        <v>792</v>
      </c>
      <c r="W124" t="s">
        <v>8</v>
      </c>
      <c r="X124" s="31">
        <v>33500000</v>
      </c>
      <c r="Y124" s="34">
        <f t="shared" si="1"/>
        <v>33.5</v>
      </c>
    </row>
    <row r="125" spans="8:25">
      <c r="H125"/>
      <c r="V125" s="4" t="s">
        <v>793</v>
      </c>
      <c r="W125" t="s">
        <v>29</v>
      </c>
      <c r="X125" s="31">
        <v>15895000</v>
      </c>
      <c r="Y125" s="34">
        <f t="shared" si="1"/>
        <v>15.895</v>
      </c>
    </row>
    <row r="126" spans="8:25">
      <c r="H126"/>
      <c r="V126" s="4" t="s">
        <v>794</v>
      </c>
      <c r="W126" t="s">
        <v>15</v>
      </c>
      <c r="X126" s="31">
        <v>31455000</v>
      </c>
      <c r="Y126" s="34">
        <f t="shared" si="1"/>
        <v>31.454999999999998</v>
      </c>
    </row>
    <row r="127" spans="8:25">
      <c r="H127"/>
      <c r="V127" s="4" t="s">
        <v>795</v>
      </c>
      <c r="W127" t="s">
        <v>33</v>
      </c>
      <c r="X127" s="31">
        <v>18532500</v>
      </c>
      <c r="Y127" s="34">
        <f t="shared" si="1"/>
        <v>18.532499999999999</v>
      </c>
    </row>
    <row r="128" spans="8:25">
      <c r="H128"/>
      <c r="V128" s="4" t="s">
        <v>796</v>
      </c>
      <c r="W128" t="s">
        <v>21</v>
      </c>
      <c r="X128" s="31">
        <v>32450000</v>
      </c>
      <c r="Y128" s="34">
        <f t="shared" si="1"/>
        <v>32.450000000000003</v>
      </c>
    </row>
    <row r="129" spans="8:25">
      <c r="H129"/>
      <c r="V129" s="4" t="s">
        <v>797</v>
      </c>
      <c r="W129" t="s">
        <v>24</v>
      </c>
      <c r="X129" s="31">
        <v>28890000</v>
      </c>
      <c r="Y129" s="34">
        <f t="shared" si="1"/>
        <v>28.89</v>
      </c>
    </row>
    <row r="130" spans="8:25">
      <c r="H130"/>
      <c r="V130" s="4" t="s">
        <v>798</v>
      </c>
      <c r="W130" t="s">
        <v>35</v>
      </c>
      <c r="X130" s="31">
        <v>30160000</v>
      </c>
      <c r="Y130" s="34">
        <f t="shared" si="1"/>
        <v>30.16</v>
      </c>
    </row>
    <row r="131" spans="8:25">
      <c r="H131"/>
      <c r="V131" s="4" t="s">
        <v>799</v>
      </c>
      <c r="W131" t="s">
        <v>18</v>
      </c>
      <c r="X131" s="31">
        <v>25175000</v>
      </c>
      <c r="Y131" s="34">
        <f t="shared" si="1"/>
        <v>25.175000000000001</v>
      </c>
    </row>
    <row r="132" spans="8:25">
      <c r="H132"/>
      <c r="V132" s="4" t="s">
        <v>800</v>
      </c>
      <c r="W132" t="s">
        <v>8</v>
      </c>
      <c r="X132" s="31">
        <v>26875000</v>
      </c>
      <c r="Y132" s="34">
        <f t="shared" ref="Y132:Y195" si="2">X132/1000000</f>
        <v>26.875</v>
      </c>
    </row>
    <row r="133" spans="8:25">
      <c r="H133"/>
      <c r="V133" s="4" t="s">
        <v>801</v>
      </c>
      <c r="W133" t="s">
        <v>15</v>
      </c>
      <c r="X133" s="31">
        <v>25515000</v>
      </c>
      <c r="Y133" s="34">
        <f t="shared" si="2"/>
        <v>25.515000000000001</v>
      </c>
    </row>
    <row r="134" spans="8:25">
      <c r="H134"/>
      <c r="V134" s="4" t="s">
        <v>802</v>
      </c>
      <c r="W134" t="s">
        <v>12</v>
      </c>
      <c r="X134" s="31">
        <v>27500000</v>
      </c>
      <c r="Y134" s="34">
        <f t="shared" si="2"/>
        <v>27.5</v>
      </c>
    </row>
    <row r="135" spans="8:25">
      <c r="H135"/>
      <c r="V135" s="4" t="s">
        <v>803</v>
      </c>
      <c r="W135" t="s">
        <v>18</v>
      </c>
      <c r="X135" s="31">
        <v>28737500</v>
      </c>
      <c r="Y135" s="34">
        <f t="shared" si="2"/>
        <v>28.737500000000001</v>
      </c>
    </row>
    <row r="136" spans="8:25">
      <c r="H136"/>
      <c r="V136" s="4" t="s">
        <v>804</v>
      </c>
      <c r="W136" t="s">
        <v>21</v>
      </c>
      <c r="X136" s="31">
        <v>16940000</v>
      </c>
      <c r="Y136" s="34">
        <f t="shared" si="2"/>
        <v>16.940000000000001</v>
      </c>
    </row>
    <row r="137" spans="8:25">
      <c r="H137"/>
      <c r="V137" s="4" t="s">
        <v>805</v>
      </c>
      <c r="W137" t="s">
        <v>24</v>
      </c>
      <c r="X137" s="31">
        <v>29880000</v>
      </c>
      <c r="Y137" s="34">
        <f t="shared" si="2"/>
        <v>29.88</v>
      </c>
    </row>
    <row r="138" spans="8:25">
      <c r="H138"/>
      <c r="V138" s="4" t="s">
        <v>806</v>
      </c>
      <c r="W138" t="s">
        <v>27</v>
      </c>
      <c r="X138" s="31">
        <v>20470000</v>
      </c>
      <c r="Y138" s="34">
        <f t="shared" si="2"/>
        <v>20.47</v>
      </c>
    </row>
    <row r="139" spans="8:25">
      <c r="H139"/>
      <c r="V139" s="4" t="s">
        <v>807</v>
      </c>
      <c r="W139" t="s">
        <v>29</v>
      </c>
      <c r="X139" s="31">
        <v>25330000</v>
      </c>
      <c r="Y139" s="34">
        <f t="shared" si="2"/>
        <v>25.33</v>
      </c>
    </row>
    <row r="140" spans="8:25">
      <c r="H140"/>
      <c r="V140" s="4" t="s">
        <v>808</v>
      </c>
      <c r="W140" t="s">
        <v>31</v>
      </c>
      <c r="X140" s="31">
        <v>28920000</v>
      </c>
      <c r="Y140" s="34">
        <f t="shared" si="2"/>
        <v>28.92</v>
      </c>
    </row>
    <row r="141" spans="8:25">
      <c r="H141"/>
      <c r="V141" s="4" t="s">
        <v>809</v>
      </c>
      <c r="W141" t="s">
        <v>35</v>
      </c>
      <c r="X141" s="31">
        <v>52925000</v>
      </c>
      <c r="Y141" s="34">
        <f t="shared" si="2"/>
        <v>52.924999999999997</v>
      </c>
    </row>
    <row r="142" spans="8:25">
      <c r="H142"/>
      <c r="V142" s="4" t="s">
        <v>810</v>
      </c>
      <c r="W142" t="s">
        <v>8</v>
      </c>
      <c r="X142" s="31">
        <v>23437500</v>
      </c>
      <c r="Y142" s="34">
        <f t="shared" si="2"/>
        <v>23.4375</v>
      </c>
    </row>
    <row r="143" spans="8:25">
      <c r="V143" s="4" t="s">
        <v>811</v>
      </c>
      <c r="W143" t="s">
        <v>15</v>
      </c>
      <c r="X143" s="31">
        <v>28350000</v>
      </c>
      <c r="Y143" s="34">
        <f t="shared" si="2"/>
        <v>28.35</v>
      </c>
    </row>
    <row r="144" spans="8:25">
      <c r="V144" s="4" t="s">
        <v>812</v>
      </c>
      <c r="W144" t="s">
        <v>18</v>
      </c>
      <c r="X144" s="31">
        <v>28405000</v>
      </c>
      <c r="Y144" s="34">
        <f t="shared" si="2"/>
        <v>28.405000000000001</v>
      </c>
    </row>
    <row r="145" spans="22:25">
      <c r="V145" s="4" t="s">
        <v>813</v>
      </c>
      <c r="W145" t="s">
        <v>12</v>
      </c>
      <c r="X145" s="31">
        <v>25500000</v>
      </c>
      <c r="Y145" s="34">
        <f t="shared" si="2"/>
        <v>25.5</v>
      </c>
    </row>
    <row r="146" spans="22:25">
      <c r="V146" s="4" t="s">
        <v>814</v>
      </c>
      <c r="W146" t="s">
        <v>24</v>
      </c>
      <c r="X146" s="31">
        <v>28890000</v>
      </c>
      <c r="Y146" s="34">
        <f t="shared" si="2"/>
        <v>28.89</v>
      </c>
    </row>
    <row r="147" spans="22:25">
      <c r="V147" s="4" t="s">
        <v>815</v>
      </c>
      <c r="W147" t="s">
        <v>21</v>
      </c>
      <c r="X147" s="31">
        <v>21780000</v>
      </c>
      <c r="Y147" s="34">
        <f t="shared" si="2"/>
        <v>21.78</v>
      </c>
    </row>
    <row r="148" spans="22:25">
      <c r="V148" s="4" t="s">
        <v>816</v>
      </c>
      <c r="W148" t="s">
        <v>27</v>
      </c>
      <c r="X148" s="31">
        <v>16330000</v>
      </c>
      <c r="Y148" s="34">
        <f t="shared" si="2"/>
        <v>16.329999999999998</v>
      </c>
    </row>
    <row r="149" spans="22:25">
      <c r="V149" s="4" t="s">
        <v>817</v>
      </c>
      <c r="W149" t="s">
        <v>29</v>
      </c>
      <c r="X149" s="31">
        <v>24565000</v>
      </c>
      <c r="Y149" s="34">
        <f t="shared" si="2"/>
        <v>24.565000000000001</v>
      </c>
    </row>
    <row r="150" spans="22:25">
      <c r="V150" s="4" t="s">
        <v>818</v>
      </c>
      <c r="W150" t="s">
        <v>31</v>
      </c>
      <c r="X150" s="31">
        <v>29640000</v>
      </c>
      <c r="Y150" s="34">
        <f t="shared" si="2"/>
        <v>29.64</v>
      </c>
    </row>
    <row r="151" spans="22:25">
      <c r="V151" s="4" t="s">
        <v>819</v>
      </c>
      <c r="W151" t="s">
        <v>35</v>
      </c>
      <c r="X151" s="31">
        <v>54375000</v>
      </c>
      <c r="Y151" s="34">
        <f t="shared" si="2"/>
        <v>54.375</v>
      </c>
    </row>
    <row r="152" spans="22:25">
      <c r="V152" s="4" t="s">
        <v>820</v>
      </c>
      <c r="W152" t="s">
        <v>8</v>
      </c>
      <c r="X152" s="31">
        <v>27875000</v>
      </c>
      <c r="Y152" s="34">
        <f t="shared" si="2"/>
        <v>27.875</v>
      </c>
    </row>
    <row r="153" spans="22:25">
      <c r="V153" s="4" t="s">
        <v>821</v>
      </c>
      <c r="W153" t="s">
        <v>15</v>
      </c>
      <c r="X153" s="31">
        <v>36180000</v>
      </c>
      <c r="Y153" s="34">
        <f t="shared" si="2"/>
        <v>36.18</v>
      </c>
    </row>
    <row r="154" spans="22:25">
      <c r="V154" s="4" t="s">
        <v>822</v>
      </c>
      <c r="W154" t="s">
        <v>18</v>
      </c>
      <c r="X154" s="31">
        <v>29830000</v>
      </c>
      <c r="Y154" s="34">
        <f t="shared" si="2"/>
        <v>29.83</v>
      </c>
    </row>
    <row r="155" spans="22:25">
      <c r="V155" s="4" t="s">
        <v>823</v>
      </c>
      <c r="W155" t="s">
        <v>24</v>
      </c>
      <c r="X155" s="31">
        <v>26820000</v>
      </c>
      <c r="Y155" s="34">
        <f t="shared" si="2"/>
        <v>26.82</v>
      </c>
    </row>
    <row r="156" spans="22:25">
      <c r="V156" s="4" t="s">
        <v>824</v>
      </c>
      <c r="W156" t="s">
        <v>21</v>
      </c>
      <c r="X156" s="31">
        <v>20350000</v>
      </c>
      <c r="Y156" s="34">
        <f t="shared" si="2"/>
        <v>20.350000000000001</v>
      </c>
    </row>
    <row r="157" spans="22:25">
      <c r="V157" s="4" t="s">
        <v>825</v>
      </c>
      <c r="W157" t="s">
        <v>27</v>
      </c>
      <c r="X157" s="31">
        <v>27140000</v>
      </c>
      <c r="Y157" s="34">
        <f t="shared" si="2"/>
        <v>27.14</v>
      </c>
    </row>
    <row r="158" spans="22:25">
      <c r="V158" s="4" t="s">
        <v>462</v>
      </c>
      <c r="W158" t="s">
        <v>8</v>
      </c>
      <c r="X158" s="31">
        <v>30625000</v>
      </c>
      <c r="Y158" s="34">
        <f t="shared" si="2"/>
        <v>30.625</v>
      </c>
    </row>
    <row r="159" spans="22:25">
      <c r="V159" s="4" t="s">
        <v>463</v>
      </c>
      <c r="W159" t="s">
        <v>12</v>
      </c>
      <c r="X159" s="31">
        <v>31000000</v>
      </c>
      <c r="Y159" s="34">
        <f t="shared" si="2"/>
        <v>31</v>
      </c>
    </row>
    <row r="160" spans="22:25">
      <c r="V160" s="4" t="s">
        <v>826</v>
      </c>
      <c r="W160" t="s">
        <v>15</v>
      </c>
      <c r="X160" s="31">
        <v>26730000</v>
      </c>
      <c r="Y160" s="34">
        <f t="shared" si="2"/>
        <v>26.73</v>
      </c>
    </row>
    <row r="161" spans="22:25">
      <c r="V161" s="4" t="s">
        <v>827</v>
      </c>
      <c r="W161" t="s">
        <v>18</v>
      </c>
      <c r="X161" s="31">
        <v>27312500</v>
      </c>
      <c r="Y161" s="34">
        <f t="shared" si="2"/>
        <v>27.3125</v>
      </c>
    </row>
    <row r="162" spans="22:25">
      <c r="V162" s="4" t="s">
        <v>828</v>
      </c>
      <c r="W162" t="s">
        <v>21</v>
      </c>
      <c r="X162" s="31">
        <v>18150000</v>
      </c>
      <c r="Y162" s="34">
        <f t="shared" si="2"/>
        <v>18.149999999999999</v>
      </c>
    </row>
    <row r="163" spans="22:25">
      <c r="V163" s="4" t="s">
        <v>829</v>
      </c>
      <c r="W163" t="s">
        <v>24</v>
      </c>
      <c r="X163" s="31">
        <v>30780000</v>
      </c>
      <c r="Y163" s="34">
        <f t="shared" si="2"/>
        <v>30.78</v>
      </c>
    </row>
    <row r="164" spans="22:25">
      <c r="V164" s="4" t="s">
        <v>830</v>
      </c>
      <c r="W164" t="s">
        <v>27</v>
      </c>
      <c r="X164" s="31">
        <v>25415000</v>
      </c>
      <c r="Y164" s="34">
        <f t="shared" si="2"/>
        <v>25.414999999999999</v>
      </c>
    </row>
    <row r="165" spans="22:25">
      <c r="V165" s="4" t="s">
        <v>831</v>
      </c>
      <c r="W165" t="s">
        <v>29</v>
      </c>
      <c r="X165" s="31">
        <v>26775000</v>
      </c>
      <c r="Y165" s="34">
        <f t="shared" si="2"/>
        <v>26.774999999999999</v>
      </c>
    </row>
    <row r="166" spans="22:25">
      <c r="V166" s="4" t="s">
        <v>832</v>
      </c>
      <c r="W166" t="s">
        <v>8</v>
      </c>
      <c r="X166" s="31">
        <v>23625000</v>
      </c>
      <c r="Y166" s="34">
        <f t="shared" si="2"/>
        <v>23.625</v>
      </c>
    </row>
    <row r="167" spans="22:25">
      <c r="V167" s="4" t="s">
        <v>833</v>
      </c>
      <c r="W167" t="s">
        <v>15</v>
      </c>
      <c r="X167" s="31">
        <v>37327500</v>
      </c>
      <c r="Y167" s="34">
        <f t="shared" si="2"/>
        <v>37.327500000000001</v>
      </c>
    </row>
    <row r="168" spans="22:25">
      <c r="V168" s="4" t="s">
        <v>834</v>
      </c>
      <c r="W168" t="s">
        <v>33</v>
      </c>
      <c r="X168" s="31">
        <v>21525000</v>
      </c>
      <c r="Y168" s="34">
        <f t="shared" si="2"/>
        <v>21.524999999999999</v>
      </c>
    </row>
    <row r="169" spans="22:25">
      <c r="V169" s="4" t="s">
        <v>835</v>
      </c>
      <c r="W169" t="s">
        <v>31</v>
      </c>
      <c r="X169" s="31">
        <v>35400000</v>
      </c>
      <c r="Y169" s="34">
        <f t="shared" si="2"/>
        <v>35.4</v>
      </c>
    </row>
    <row r="170" spans="22:25">
      <c r="V170" s="4" t="s">
        <v>836</v>
      </c>
      <c r="W170" t="s">
        <v>12</v>
      </c>
      <c r="X170" s="31">
        <v>31200000</v>
      </c>
      <c r="Y170" s="34">
        <f t="shared" si="2"/>
        <v>31.2</v>
      </c>
    </row>
    <row r="171" spans="22:25">
      <c r="V171" s="4" t="s">
        <v>837</v>
      </c>
      <c r="W171" t="s">
        <v>35</v>
      </c>
      <c r="X171" s="31">
        <v>36975000</v>
      </c>
      <c r="Y171" s="34">
        <f t="shared" si="2"/>
        <v>36.975000000000001</v>
      </c>
    </row>
    <row r="172" spans="22:25">
      <c r="V172" s="4" t="s">
        <v>838</v>
      </c>
      <c r="W172" t="s">
        <v>18</v>
      </c>
      <c r="X172" s="31">
        <v>32300000</v>
      </c>
      <c r="Y172" s="34">
        <f t="shared" si="2"/>
        <v>32.299999999999997</v>
      </c>
    </row>
    <row r="173" spans="22:25">
      <c r="V173" s="4" t="s">
        <v>839</v>
      </c>
      <c r="W173" t="s">
        <v>8</v>
      </c>
      <c r="X173" s="31">
        <v>34375000</v>
      </c>
      <c r="Y173" s="34">
        <f t="shared" si="2"/>
        <v>34.375</v>
      </c>
    </row>
    <row r="174" spans="22:25">
      <c r="V174" s="4" t="s">
        <v>840</v>
      </c>
      <c r="W174" t="s">
        <v>24</v>
      </c>
      <c r="X174" s="31">
        <v>27945000</v>
      </c>
      <c r="Y174" s="34">
        <f t="shared" si="2"/>
        <v>27.945</v>
      </c>
    </row>
    <row r="175" spans="22:25">
      <c r="V175" s="4" t="s">
        <v>841</v>
      </c>
      <c r="W175" t="s">
        <v>15</v>
      </c>
      <c r="X175" s="31">
        <v>30375000</v>
      </c>
      <c r="Y175" s="34">
        <f t="shared" si="2"/>
        <v>30.375</v>
      </c>
    </row>
    <row r="176" spans="22:25">
      <c r="V176" s="4" t="s">
        <v>842</v>
      </c>
      <c r="W176" t="s">
        <v>21</v>
      </c>
      <c r="X176" s="31">
        <v>36575000</v>
      </c>
      <c r="Y176" s="34">
        <f t="shared" si="2"/>
        <v>36.575000000000003</v>
      </c>
    </row>
    <row r="177" spans="22:25">
      <c r="V177" s="4" t="s">
        <v>843</v>
      </c>
      <c r="W177" t="s">
        <v>29</v>
      </c>
      <c r="X177" s="31">
        <v>24395000</v>
      </c>
      <c r="Y177" s="34">
        <f t="shared" si="2"/>
        <v>24.395</v>
      </c>
    </row>
    <row r="178" spans="22:25">
      <c r="V178" s="4" t="s">
        <v>844</v>
      </c>
      <c r="W178" t="s">
        <v>12</v>
      </c>
      <c r="X178" s="31">
        <v>32000000</v>
      </c>
      <c r="Y178" s="34">
        <f t="shared" si="2"/>
        <v>32</v>
      </c>
    </row>
    <row r="179" spans="22:25">
      <c r="V179" s="4" t="s">
        <v>845</v>
      </c>
      <c r="W179" t="s">
        <v>35</v>
      </c>
      <c r="X179" s="31">
        <v>38425000</v>
      </c>
      <c r="Y179" s="34">
        <f t="shared" si="2"/>
        <v>38.424999999999997</v>
      </c>
    </row>
    <row r="180" spans="22:25">
      <c r="V180" s="4" t="s">
        <v>846</v>
      </c>
      <c r="W180" t="s">
        <v>33</v>
      </c>
      <c r="X180" s="31">
        <v>22050000</v>
      </c>
      <c r="Y180" s="34">
        <f t="shared" si="2"/>
        <v>22.05</v>
      </c>
    </row>
    <row r="181" spans="22:25">
      <c r="V181" s="4" t="s">
        <v>847</v>
      </c>
      <c r="W181" t="s">
        <v>15</v>
      </c>
      <c r="X181" s="31">
        <v>40230000</v>
      </c>
      <c r="Y181" s="34">
        <f t="shared" si="2"/>
        <v>40.229999999999997</v>
      </c>
    </row>
    <row r="182" spans="22:25">
      <c r="V182" s="4" t="s">
        <v>848</v>
      </c>
      <c r="W182" t="s">
        <v>24</v>
      </c>
      <c r="X182" s="31">
        <v>31050000</v>
      </c>
      <c r="Y182" s="34">
        <f t="shared" si="2"/>
        <v>31.05</v>
      </c>
    </row>
    <row r="183" spans="22:25">
      <c r="V183" s="4" t="s">
        <v>849</v>
      </c>
      <c r="W183" t="s">
        <v>21</v>
      </c>
      <c r="X183" s="31">
        <v>34100000</v>
      </c>
      <c r="Y183" s="34">
        <f t="shared" si="2"/>
        <v>34.1</v>
      </c>
    </row>
    <row r="184" spans="22:25">
      <c r="V184" s="4" t="s">
        <v>850</v>
      </c>
      <c r="W184" t="s">
        <v>8</v>
      </c>
      <c r="X184" s="31">
        <v>31250000</v>
      </c>
      <c r="Y184" s="34">
        <f t="shared" si="2"/>
        <v>31.25</v>
      </c>
    </row>
    <row r="185" spans="22:25">
      <c r="V185" s="4" t="s">
        <v>851</v>
      </c>
      <c r="W185" t="s">
        <v>12</v>
      </c>
      <c r="X185" s="31">
        <v>31000000</v>
      </c>
      <c r="Y185" s="34">
        <f t="shared" si="2"/>
        <v>31</v>
      </c>
    </row>
    <row r="186" spans="22:25">
      <c r="V186" s="4" t="s">
        <v>852</v>
      </c>
      <c r="W186" t="s">
        <v>15</v>
      </c>
      <c r="X186" s="31">
        <v>29700000</v>
      </c>
      <c r="Y186" s="34">
        <f t="shared" si="2"/>
        <v>29.7</v>
      </c>
    </row>
    <row r="187" spans="22:25">
      <c r="V187" s="4" t="s">
        <v>853</v>
      </c>
      <c r="W187" t="s">
        <v>18</v>
      </c>
      <c r="X187" s="31">
        <v>17575000</v>
      </c>
      <c r="Y187" s="34">
        <f t="shared" si="2"/>
        <v>17.574999999999999</v>
      </c>
    </row>
    <row r="188" spans="22:25">
      <c r="V188" s="4" t="s">
        <v>854</v>
      </c>
      <c r="W188" t="s">
        <v>21</v>
      </c>
      <c r="X188" s="31">
        <v>32450000</v>
      </c>
      <c r="Y188" s="34">
        <f t="shared" si="2"/>
        <v>32.450000000000003</v>
      </c>
    </row>
    <row r="189" spans="22:25">
      <c r="V189" s="4" t="s">
        <v>855</v>
      </c>
      <c r="W189" t="s">
        <v>24</v>
      </c>
      <c r="X189" s="31">
        <v>24300000</v>
      </c>
      <c r="Y189" s="34">
        <f t="shared" si="2"/>
        <v>24.3</v>
      </c>
    </row>
    <row r="190" spans="22:25">
      <c r="V190" s="4" t="s">
        <v>856</v>
      </c>
      <c r="W190" t="s">
        <v>27</v>
      </c>
      <c r="X190" s="31">
        <v>18975000</v>
      </c>
      <c r="Y190" s="34">
        <f t="shared" si="2"/>
        <v>18.975000000000001</v>
      </c>
    </row>
    <row r="191" spans="22:25">
      <c r="V191" s="4" t="s">
        <v>857</v>
      </c>
      <c r="W191" t="s">
        <v>29</v>
      </c>
      <c r="X191" s="31">
        <v>17850000</v>
      </c>
      <c r="Y191" s="34">
        <f t="shared" si="2"/>
        <v>17.850000000000001</v>
      </c>
    </row>
    <row r="192" spans="22:25">
      <c r="V192" s="4" t="s">
        <v>858</v>
      </c>
      <c r="W192" t="s">
        <v>31</v>
      </c>
      <c r="X192" s="31">
        <v>39000000</v>
      </c>
      <c r="Y192" s="34">
        <f t="shared" si="2"/>
        <v>39</v>
      </c>
    </row>
    <row r="193" spans="22:25">
      <c r="V193" s="4" t="s">
        <v>859</v>
      </c>
      <c r="W193" t="s">
        <v>33</v>
      </c>
      <c r="X193" s="31">
        <v>29400000</v>
      </c>
      <c r="Y193" s="34">
        <f t="shared" si="2"/>
        <v>29.4</v>
      </c>
    </row>
    <row r="194" spans="22:25">
      <c r="V194" s="4" t="s">
        <v>860</v>
      </c>
      <c r="W194" t="s">
        <v>35</v>
      </c>
      <c r="X194" s="31">
        <v>49300000</v>
      </c>
      <c r="Y194" s="34">
        <f t="shared" si="2"/>
        <v>49.3</v>
      </c>
    </row>
    <row r="195" spans="22:25">
      <c r="V195" s="4" t="s">
        <v>861</v>
      </c>
      <c r="W195" t="s">
        <v>8</v>
      </c>
      <c r="X195" s="31">
        <v>32500000</v>
      </c>
      <c r="Y195" s="34">
        <f t="shared" si="2"/>
        <v>32.5</v>
      </c>
    </row>
    <row r="196" spans="22:25">
      <c r="V196" s="4" t="s">
        <v>862</v>
      </c>
      <c r="W196" t="s">
        <v>15</v>
      </c>
      <c r="X196" s="31">
        <v>31050000</v>
      </c>
      <c r="Y196" s="34">
        <f t="shared" ref="Y196:Y259" si="3">X196/1000000</f>
        <v>31.05</v>
      </c>
    </row>
    <row r="197" spans="22:25">
      <c r="V197" s="4" t="s">
        <v>863</v>
      </c>
      <c r="W197" t="s">
        <v>21</v>
      </c>
      <c r="X197" s="31">
        <v>31900000</v>
      </c>
      <c r="Y197" s="34">
        <f t="shared" si="3"/>
        <v>31.9</v>
      </c>
    </row>
    <row r="198" spans="22:25">
      <c r="V198" s="4" t="s">
        <v>864</v>
      </c>
      <c r="W198" t="s">
        <v>12</v>
      </c>
      <c r="X198" s="31">
        <v>31000000</v>
      </c>
      <c r="Y198" s="34">
        <f t="shared" si="3"/>
        <v>31</v>
      </c>
    </row>
    <row r="199" spans="22:25">
      <c r="V199" s="4" t="s">
        <v>865</v>
      </c>
      <c r="W199" t="s">
        <v>24</v>
      </c>
      <c r="X199" s="31">
        <v>24750000</v>
      </c>
      <c r="Y199" s="34">
        <f t="shared" si="3"/>
        <v>24.75</v>
      </c>
    </row>
    <row r="200" spans="22:25">
      <c r="V200" s="4" t="s">
        <v>866</v>
      </c>
      <c r="W200" t="s">
        <v>29</v>
      </c>
      <c r="X200" s="31">
        <v>20400000</v>
      </c>
      <c r="Y200" s="34">
        <f t="shared" si="3"/>
        <v>20.399999999999999</v>
      </c>
    </row>
    <row r="201" spans="22:25">
      <c r="V201" s="4" t="s">
        <v>867</v>
      </c>
      <c r="W201" t="s">
        <v>18</v>
      </c>
      <c r="X201" s="31">
        <v>19000000</v>
      </c>
      <c r="Y201" s="34">
        <f t="shared" si="3"/>
        <v>19</v>
      </c>
    </row>
    <row r="202" spans="22:25">
      <c r="V202" s="4" t="s">
        <v>868</v>
      </c>
      <c r="W202" t="s">
        <v>27</v>
      </c>
      <c r="X202" s="31">
        <v>20125000</v>
      </c>
      <c r="Y202" s="34">
        <f t="shared" si="3"/>
        <v>20.125</v>
      </c>
    </row>
    <row r="203" spans="22:25">
      <c r="V203" s="4" t="s">
        <v>869</v>
      </c>
      <c r="W203" t="s">
        <v>35</v>
      </c>
      <c r="X203" s="31">
        <v>51475000</v>
      </c>
      <c r="Y203" s="34">
        <f t="shared" si="3"/>
        <v>51.475000000000001</v>
      </c>
    </row>
    <row r="204" spans="22:25">
      <c r="V204" s="4" t="s">
        <v>870</v>
      </c>
      <c r="W204" t="s">
        <v>31</v>
      </c>
      <c r="X204" s="31">
        <v>31800000</v>
      </c>
      <c r="Y204" s="34">
        <f t="shared" si="3"/>
        <v>31.8</v>
      </c>
    </row>
    <row r="205" spans="22:25">
      <c r="V205" s="4" t="s">
        <v>871</v>
      </c>
      <c r="W205" t="s">
        <v>8</v>
      </c>
      <c r="X205" s="31">
        <v>35625000</v>
      </c>
      <c r="Y205" s="34">
        <f t="shared" si="3"/>
        <v>35.625</v>
      </c>
    </row>
    <row r="206" spans="22:25">
      <c r="V206" s="4" t="s">
        <v>872</v>
      </c>
      <c r="W206" t="s">
        <v>33</v>
      </c>
      <c r="X206" s="31">
        <v>30975000</v>
      </c>
      <c r="Y206" s="34">
        <f t="shared" si="3"/>
        <v>30.975000000000001</v>
      </c>
    </row>
    <row r="207" spans="22:25">
      <c r="V207" s="4" t="s">
        <v>873</v>
      </c>
      <c r="W207" t="s">
        <v>15</v>
      </c>
      <c r="X207" s="31">
        <v>29025000</v>
      </c>
      <c r="Y207" s="34">
        <f t="shared" si="3"/>
        <v>29.024999999999999</v>
      </c>
    </row>
    <row r="208" spans="22:25">
      <c r="V208" s="4" t="s">
        <v>874</v>
      </c>
      <c r="W208" t="s">
        <v>24</v>
      </c>
      <c r="X208" s="31">
        <v>27450000</v>
      </c>
      <c r="Y208" s="34">
        <f t="shared" si="3"/>
        <v>27.45</v>
      </c>
    </row>
    <row r="209" spans="22:25">
      <c r="V209" s="4" t="s">
        <v>875</v>
      </c>
      <c r="W209" t="s">
        <v>8</v>
      </c>
      <c r="X209" s="31">
        <v>26875000</v>
      </c>
      <c r="Y209" s="34">
        <f t="shared" si="3"/>
        <v>26.875</v>
      </c>
    </row>
    <row r="210" spans="22:25">
      <c r="V210" s="4" t="s">
        <v>876</v>
      </c>
      <c r="W210" t="s">
        <v>15</v>
      </c>
      <c r="X210" s="31">
        <v>43200000</v>
      </c>
      <c r="Y210" s="34">
        <f t="shared" si="3"/>
        <v>43.2</v>
      </c>
    </row>
    <row r="211" spans="22:25">
      <c r="V211" s="4" t="s">
        <v>877</v>
      </c>
      <c r="W211" t="s">
        <v>12</v>
      </c>
      <c r="X211" s="31">
        <v>18500000</v>
      </c>
      <c r="Y211" s="34">
        <f t="shared" si="3"/>
        <v>18.5</v>
      </c>
    </row>
    <row r="212" spans="22:25">
      <c r="V212" s="4" t="s">
        <v>878</v>
      </c>
      <c r="W212" t="s">
        <v>18</v>
      </c>
      <c r="X212" s="31">
        <v>24700000</v>
      </c>
      <c r="Y212" s="34">
        <f t="shared" si="3"/>
        <v>24.7</v>
      </c>
    </row>
    <row r="213" spans="22:25">
      <c r="V213" s="4" t="s">
        <v>879</v>
      </c>
      <c r="W213" t="s">
        <v>24</v>
      </c>
      <c r="X213" s="31">
        <v>26820000</v>
      </c>
      <c r="Y213" s="34">
        <f t="shared" si="3"/>
        <v>26.82</v>
      </c>
    </row>
    <row r="214" spans="22:25">
      <c r="V214" s="4" t="s">
        <v>880</v>
      </c>
      <c r="W214" t="s">
        <v>21</v>
      </c>
      <c r="X214" s="31">
        <v>36850000</v>
      </c>
      <c r="Y214" s="34">
        <f t="shared" si="3"/>
        <v>36.85</v>
      </c>
    </row>
    <row r="215" spans="22:25">
      <c r="V215" s="4" t="s">
        <v>881</v>
      </c>
      <c r="W215" t="s">
        <v>27</v>
      </c>
      <c r="X215" s="31">
        <v>20010000</v>
      </c>
      <c r="Y215" s="34">
        <f t="shared" si="3"/>
        <v>20.010000000000002</v>
      </c>
    </row>
    <row r="216" spans="22:25">
      <c r="V216" s="4" t="s">
        <v>882</v>
      </c>
      <c r="W216" t="s">
        <v>8</v>
      </c>
      <c r="X216" s="31">
        <v>35750000</v>
      </c>
      <c r="Y216" s="34">
        <f t="shared" si="3"/>
        <v>35.75</v>
      </c>
    </row>
    <row r="217" spans="22:25">
      <c r="V217" s="4" t="s">
        <v>883</v>
      </c>
      <c r="W217" t="s">
        <v>29</v>
      </c>
      <c r="X217" s="31">
        <v>26350000</v>
      </c>
      <c r="Y217" s="34">
        <f t="shared" si="3"/>
        <v>26.35</v>
      </c>
    </row>
    <row r="218" spans="22:25">
      <c r="V218" s="4" t="s">
        <v>884</v>
      </c>
      <c r="W218" t="s">
        <v>15</v>
      </c>
      <c r="X218" s="31">
        <v>33075000</v>
      </c>
      <c r="Y218" s="34">
        <f t="shared" si="3"/>
        <v>33.075000000000003</v>
      </c>
    </row>
    <row r="219" spans="22:25">
      <c r="V219" s="4" t="s">
        <v>885</v>
      </c>
      <c r="W219" t="s">
        <v>31</v>
      </c>
      <c r="X219" s="31">
        <v>25200000</v>
      </c>
      <c r="Y219" s="34">
        <f t="shared" si="3"/>
        <v>25.2</v>
      </c>
    </row>
    <row r="220" spans="22:25">
      <c r="V220" s="4" t="s">
        <v>886</v>
      </c>
      <c r="W220" t="s">
        <v>24</v>
      </c>
      <c r="X220" s="31">
        <v>33750000</v>
      </c>
      <c r="Y220" s="34">
        <f t="shared" si="3"/>
        <v>33.75</v>
      </c>
    </row>
    <row r="221" spans="22:25">
      <c r="V221" s="4" t="s">
        <v>887</v>
      </c>
      <c r="W221" t="s">
        <v>18</v>
      </c>
      <c r="X221" s="31">
        <v>28310000</v>
      </c>
      <c r="Y221" s="34">
        <f t="shared" si="3"/>
        <v>28.31</v>
      </c>
    </row>
    <row r="222" spans="22:25">
      <c r="V222" s="4" t="s">
        <v>888</v>
      </c>
      <c r="W222" t="s">
        <v>33</v>
      </c>
      <c r="X222" s="31">
        <v>16170000</v>
      </c>
      <c r="Y222" s="34">
        <f t="shared" si="3"/>
        <v>16.170000000000002</v>
      </c>
    </row>
    <row r="223" spans="22:25">
      <c r="V223" s="4" t="s">
        <v>889</v>
      </c>
      <c r="W223" t="s">
        <v>35</v>
      </c>
      <c r="X223" s="31">
        <v>58725000</v>
      </c>
      <c r="Y223" s="34">
        <f t="shared" si="3"/>
        <v>58.725000000000001</v>
      </c>
    </row>
    <row r="224" spans="22:25">
      <c r="V224" s="4" t="s">
        <v>890</v>
      </c>
      <c r="W224" t="s">
        <v>12</v>
      </c>
      <c r="X224" s="31">
        <v>26000000</v>
      </c>
      <c r="Y224" s="34">
        <f t="shared" si="3"/>
        <v>26</v>
      </c>
    </row>
    <row r="225" spans="22:25">
      <c r="V225" s="4" t="s">
        <v>891</v>
      </c>
      <c r="W225" t="s">
        <v>21</v>
      </c>
      <c r="X225" s="31">
        <v>25300000</v>
      </c>
      <c r="Y225" s="34">
        <f t="shared" si="3"/>
        <v>25.3</v>
      </c>
    </row>
    <row r="226" spans="22:25">
      <c r="V226" s="4" t="s">
        <v>892</v>
      </c>
      <c r="W226" t="s">
        <v>8</v>
      </c>
      <c r="X226" s="31">
        <v>42750000</v>
      </c>
      <c r="Y226" s="34">
        <f t="shared" si="3"/>
        <v>42.75</v>
      </c>
    </row>
    <row r="227" spans="22:25">
      <c r="V227" s="4" t="s">
        <v>893</v>
      </c>
      <c r="W227" t="s">
        <v>24</v>
      </c>
      <c r="X227" s="31">
        <v>26865000</v>
      </c>
      <c r="Y227" s="34">
        <f t="shared" si="3"/>
        <v>26.864999999999998</v>
      </c>
    </row>
    <row r="228" spans="22:25">
      <c r="V228" s="4" t="s">
        <v>894</v>
      </c>
      <c r="W228" t="s">
        <v>15</v>
      </c>
      <c r="X228" s="31">
        <v>42525000</v>
      </c>
      <c r="Y228" s="34">
        <f t="shared" si="3"/>
        <v>42.524999999999999</v>
      </c>
    </row>
    <row r="229" spans="22:25">
      <c r="V229" s="4" t="s">
        <v>895</v>
      </c>
      <c r="W229" t="s">
        <v>27</v>
      </c>
      <c r="X229" s="31">
        <v>21160000</v>
      </c>
      <c r="Y229" s="34">
        <f t="shared" si="3"/>
        <v>21.16</v>
      </c>
    </row>
    <row r="230" spans="22:25">
      <c r="V230" s="4" t="s">
        <v>896</v>
      </c>
      <c r="W230" t="s">
        <v>35</v>
      </c>
      <c r="X230" s="31">
        <v>60900000</v>
      </c>
      <c r="Y230" s="34">
        <f t="shared" si="3"/>
        <v>60.9</v>
      </c>
    </row>
    <row r="231" spans="22:25">
      <c r="V231" s="4" t="s">
        <v>897</v>
      </c>
      <c r="W231" t="s">
        <v>18</v>
      </c>
      <c r="X231" s="31">
        <v>28405000</v>
      </c>
      <c r="Y231" s="34">
        <f t="shared" si="3"/>
        <v>28.405000000000001</v>
      </c>
    </row>
    <row r="232" spans="22:25">
      <c r="V232" s="4" t="s">
        <v>898</v>
      </c>
      <c r="W232" t="s">
        <v>31</v>
      </c>
      <c r="X232" s="31">
        <v>30000000</v>
      </c>
      <c r="Y232" s="34">
        <f t="shared" si="3"/>
        <v>30</v>
      </c>
    </row>
    <row r="233" spans="22:25">
      <c r="V233" s="4" t="s">
        <v>899</v>
      </c>
      <c r="W233" t="s">
        <v>12</v>
      </c>
      <c r="X233" s="31">
        <v>26800000</v>
      </c>
      <c r="Y233" s="34">
        <f t="shared" si="3"/>
        <v>26.8</v>
      </c>
    </row>
    <row r="234" spans="22:25">
      <c r="V234" s="4" t="s">
        <v>900</v>
      </c>
      <c r="W234" t="s">
        <v>29</v>
      </c>
      <c r="X234" s="31">
        <v>26350000</v>
      </c>
      <c r="Y234" s="34">
        <f t="shared" si="3"/>
        <v>26.35</v>
      </c>
    </row>
    <row r="235" spans="22:25">
      <c r="V235" s="4" t="s">
        <v>901</v>
      </c>
      <c r="W235" t="s">
        <v>21</v>
      </c>
      <c r="X235" s="31">
        <v>37950000</v>
      </c>
      <c r="Y235" s="34">
        <f t="shared" si="3"/>
        <v>37.950000000000003</v>
      </c>
    </row>
    <row r="236" spans="22:25">
      <c r="V236" s="4" t="s">
        <v>902</v>
      </c>
      <c r="W236" t="s">
        <v>8</v>
      </c>
      <c r="X236" s="31">
        <v>26250000</v>
      </c>
      <c r="Y236" s="34">
        <f t="shared" si="3"/>
        <v>26.25</v>
      </c>
    </row>
    <row r="237" spans="22:25">
      <c r="V237" s="4" t="s">
        <v>903</v>
      </c>
      <c r="W237" t="s">
        <v>12</v>
      </c>
      <c r="X237" s="31">
        <v>18500000</v>
      </c>
      <c r="Y237" s="34">
        <f t="shared" si="3"/>
        <v>18.5</v>
      </c>
    </row>
    <row r="238" spans="22:25">
      <c r="V238" s="4" t="s">
        <v>904</v>
      </c>
      <c r="W238" t="s">
        <v>15</v>
      </c>
      <c r="X238" s="31">
        <v>43200000</v>
      </c>
      <c r="Y238" s="34">
        <f t="shared" si="3"/>
        <v>43.2</v>
      </c>
    </row>
    <row r="239" spans="22:25">
      <c r="V239" s="4" t="s">
        <v>905</v>
      </c>
      <c r="W239" t="s">
        <v>18</v>
      </c>
      <c r="X239" s="31">
        <v>26125000</v>
      </c>
      <c r="Y239" s="34">
        <f t="shared" si="3"/>
        <v>26.125</v>
      </c>
    </row>
    <row r="240" spans="22:25">
      <c r="V240" s="4" t="s">
        <v>906</v>
      </c>
      <c r="W240" t="s">
        <v>21</v>
      </c>
      <c r="X240" s="31">
        <v>21780000</v>
      </c>
      <c r="Y240" s="34">
        <f t="shared" si="3"/>
        <v>21.78</v>
      </c>
    </row>
    <row r="241" spans="22:25">
      <c r="V241" s="4" t="s">
        <v>907</v>
      </c>
      <c r="W241" t="s">
        <v>24</v>
      </c>
      <c r="X241" s="31">
        <v>27450000</v>
      </c>
      <c r="Y241" s="34">
        <f t="shared" si="3"/>
        <v>27.45</v>
      </c>
    </row>
    <row r="242" spans="22:25">
      <c r="V242" s="4" t="s">
        <v>908</v>
      </c>
      <c r="W242" t="s">
        <v>27</v>
      </c>
      <c r="X242" s="31">
        <v>25760000</v>
      </c>
      <c r="Y242" s="34">
        <f t="shared" si="3"/>
        <v>25.76</v>
      </c>
    </row>
    <row r="243" spans="22:25">
      <c r="V243" s="4" t="s">
        <v>909</v>
      </c>
      <c r="W243" t="s">
        <v>29</v>
      </c>
      <c r="X243" s="31">
        <v>22737500</v>
      </c>
      <c r="Y243" s="34">
        <f t="shared" si="3"/>
        <v>22.737500000000001</v>
      </c>
    </row>
    <row r="244" spans="22:25">
      <c r="V244" s="4" t="s">
        <v>910</v>
      </c>
      <c r="W244" t="s">
        <v>31</v>
      </c>
      <c r="X244" s="31">
        <v>34680000</v>
      </c>
      <c r="Y244" s="34">
        <f t="shared" si="3"/>
        <v>34.68</v>
      </c>
    </row>
    <row r="245" spans="22:25">
      <c r="V245" s="4" t="s">
        <v>911</v>
      </c>
      <c r="W245" t="s">
        <v>33</v>
      </c>
      <c r="X245" s="31">
        <v>18480000</v>
      </c>
      <c r="Y245" s="34">
        <f t="shared" si="3"/>
        <v>18.48</v>
      </c>
    </row>
    <row r="246" spans="22:25">
      <c r="V246" s="4" t="s">
        <v>912</v>
      </c>
      <c r="W246" t="s">
        <v>35</v>
      </c>
      <c r="X246" s="31">
        <v>50750000</v>
      </c>
      <c r="Y246" s="34">
        <f t="shared" si="3"/>
        <v>50.75</v>
      </c>
    </row>
    <row r="247" spans="22:25">
      <c r="V247" s="4" t="s">
        <v>913</v>
      </c>
      <c r="W247" t="s">
        <v>8</v>
      </c>
      <c r="X247" s="31">
        <v>32500000</v>
      </c>
      <c r="Y247" s="34">
        <f t="shared" si="3"/>
        <v>32.5</v>
      </c>
    </row>
    <row r="248" spans="22:25">
      <c r="V248" s="4" t="s">
        <v>914</v>
      </c>
      <c r="W248" t="s">
        <v>12</v>
      </c>
      <c r="X248" s="31">
        <v>24000000</v>
      </c>
      <c r="Y248" s="34">
        <f t="shared" si="3"/>
        <v>24</v>
      </c>
    </row>
    <row r="249" spans="22:25">
      <c r="V249" s="4" t="s">
        <v>915</v>
      </c>
      <c r="W249" t="s">
        <v>15</v>
      </c>
      <c r="X249" s="31">
        <v>42525000</v>
      </c>
      <c r="Y249" s="34">
        <f t="shared" si="3"/>
        <v>42.524999999999999</v>
      </c>
    </row>
    <row r="250" spans="22:25">
      <c r="V250" s="4" t="s">
        <v>916</v>
      </c>
      <c r="W250" t="s">
        <v>18</v>
      </c>
      <c r="X250" s="31">
        <v>20995000</v>
      </c>
      <c r="Y250" s="34">
        <f t="shared" si="3"/>
        <v>20.995000000000001</v>
      </c>
    </row>
    <row r="251" spans="22:25">
      <c r="V251" s="4" t="s">
        <v>917</v>
      </c>
      <c r="W251" t="s">
        <v>21</v>
      </c>
      <c r="X251" s="31">
        <v>30250000</v>
      </c>
      <c r="Y251" s="34">
        <f t="shared" si="3"/>
        <v>30.25</v>
      </c>
    </row>
    <row r="252" spans="22:25">
      <c r="V252" s="4" t="s">
        <v>918</v>
      </c>
      <c r="W252" t="s">
        <v>24</v>
      </c>
      <c r="X252" s="31">
        <v>20970000</v>
      </c>
      <c r="Y252" s="34">
        <f t="shared" si="3"/>
        <v>20.97</v>
      </c>
    </row>
    <row r="253" spans="22:25">
      <c r="V253" s="4" t="s">
        <v>919</v>
      </c>
      <c r="W253" t="s">
        <v>27</v>
      </c>
      <c r="X253" s="31">
        <v>34270000</v>
      </c>
      <c r="Y253" s="34">
        <f t="shared" si="3"/>
        <v>34.270000000000003</v>
      </c>
    </row>
    <row r="254" spans="22:25">
      <c r="V254" s="4" t="s">
        <v>920</v>
      </c>
      <c r="W254" t="s">
        <v>29</v>
      </c>
      <c r="X254" s="31">
        <v>15980000</v>
      </c>
      <c r="Y254" s="34">
        <f t="shared" si="3"/>
        <v>15.98</v>
      </c>
    </row>
    <row r="255" spans="22:25">
      <c r="V255" s="4" t="s">
        <v>921</v>
      </c>
      <c r="W255" t="s">
        <v>31</v>
      </c>
      <c r="X255" s="31">
        <v>38400000</v>
      </c>
      <c r="Y255" s="34">
        <f t="shared" si="3"/>
        <v>38.4</v>
      </c>
    </row>
    <row r="256" spans="22:25">
      <c r="V256" s="4" t="s">
        <v>922</v>
      </c>
      <c r="W256" t="s">
        <v>33</v>
      </c>
      <c r="X256" s="31">
        <v>25725000</v>
      </c>
      <c r="Y256" s="34">
        <f t="shared" si="3"/>
        <v>25.725000000000001</v>
      </c>
    </row>
    <row r="257" spans="22:25">
      <c r="V257" s="4" t="s">
        <v>923</v>
      </c>
      <c r="W257" t="s">
        <v>35</v>
      </c>
      <c r="X257" s="31">
        <v>51620000</v>
      </c>
      <c r="Y257" s="34">
        <f t="shared" si="3"/>
        <v>51.62</v>
      </c>
    </row>
    <row r="258" spans="22:25">
      <c r="V258" s="4" t="s">
        <v>924</v>
      </c>
      <c r="W258" t="s">
        <v>8</v>
      </c>
      <c r="X258" s="31">
        <v>25875000</v>
      </c>
      <c r="Y258" s="34">
        <f t="shared" si="3"/>
        <v>25.875</v>
      </c>
    </row>
    <row r="259" spans="22:25">
      <c r="V259" s="4" t="s">
        <v>925</v>
      </c>
      <c r="W259" t="s">
        <v>12</v>
      </c>
      <c r="X259" s="31">
        <v>29400000</v>
      </c>
      <c r="Y259" s="34">
        <f t="shared" si="3"/>
        <v>29.4</v>
      </c>
    </row>
    <row r="260" spans="22:25">
      <c r="V260" s="4" t="s">
        <v>926</v>
      </c>
      <c r="W260" t="s">
        <v>15</v>
      </c>
      <c r="X260" s="31">
        <v>41850000</v>
      </c>
      <c r="Y260" s="34">
        <f t="shared" ref="Y260:Y313" si="4">X260/1000000</f>
        <v>41.85</v>
      </c>
    </row>
    <row r="261" spans="22:25">
      <c r="V261" s="4" t="s">
        <v>927</v>
      </c>
      <c r="W261" t="s">
        <v>8</v>
      </c>
      <c r="X261" s="31">
        <v>26875000</v>
      </c>
      <c r="Y261" s="34">
        <f t="shared" si="4"/>
        <v>26.875</v>
      </c>
    </row>
    <row r="262" spans="22:25">
      <c r="V262" s="4" t="s">
        <v>928</v>
      </c>
      <c r="W262" t="s">
        <v>15</v>
      </c>
      <c r="X262" s="31">
        <v>24975000</v>
      </c>
      <c r="Y262" s="34">
        <f t="shared" si="4"/>
        <v>24.975000000000001</v>
      </c>
    </row>
    <row r="263" spans="22:25">
      <c r="V263" s="4" t="s">
        <v>929</v>
      </c>
      <c r="W263" t="s">
        <v>24</v>
      </c>
      <c r="X263" s="31">
        <v>27180000</v>
      </c>
      <c r="Y263" s="34">
        <f t="shared" si="4"/>
        <v>27.18</v>
      </c>
    </row>
    <row r="264" spans="22:25">
      <c r="V264" s="4" t="s">
        <v>930</v>
      </c>
      <c r="W264" t="s">
        <v>18</v>
      </c>
      <c r="X264" s="31">
        <v>16625000</v>
      </c>
      <c r="Y264" s="34">
        <f t="shared" si="4"/>
        <v>16.625</v>
      </c>
    </row>
    <row r="265" spans="22:25">
      <c r="V265" s="4" t="s">
        <v>931</v>
      </c>
      <c r="W265" t="s">
        <v>12</v>
      </c>
      <c r="X265" s="31">
        <v>26400000</v>
      </c>
      <c r="Y265" s="34">
        <f t="shared" si="4"/>
        <v>26.4</v>
      </c>
    </row>
    <row r="266" spans="22:25">
      <c r="V266" s="4" t="s">
        <v>932</v>
      </c>
      <c r="W266" t="s">
        <v>21</v>
      </c>
      <c r="X266" s="31">
        <v>35200000</v>
      </c>
      <c r="Y266" s="34">
        <f t="shared" si="4"/>
        <v>35.200000000000003</v>
      </c>
    </row>
    <row r="267" spans="22:25">
      <c r="V267" s="4" t="s">
        <v>933</v>
      </c>
      <c r="W267" t="s">
        <v>27</v>
      </c>
      <c r="X267" s="31">
        <v>16675000</v>
      </c>
      <c r="Y267" s="34">
        <f t="shared" si="4"/>
        <v>16.675000000000001</v>
      </c>
    </row>
    <row r="268" spans="22:25">
      <c r="V268" s="4" t="s">
        <v>934</v>
      </c>
      <c r="W268" t="s">
        <v>29</v>
      </c>
      <c r="X268" s="31">
        <v>24310000</v>
      </c>
      <c r="Y268" s="34">
        <f t="shared" si="4"/>
        <v>24.31</v>
      </c>
    </row>
    <row r="269" spans="22:25">
      <c r="V269" s="4" t="s">
        <v>935</v>
      </c>
      <c r="W269" t="s">
        <v>8</v>
      </c>
      <c r="X269" s="31">
        <v>24375000</v>
      </c>
      <c r="Y269" s="34">
        <f t="shared" si="4"/>
        <v>24.375</v>
      </c>
    </row>
    <row r="270" spans="22:25">
      <c r="V270" s="4" t="s">
        <v>936</v>
      </c>
      <c r="W270" t="s">
        <v>31</v>
      </c>
      <c r="X270" s="31">
        <v>28920000</v>
      </c>
      <c r="Y270" s="34">
        <f t="shared" si="4"/>
        <v>28.92</v>
      </c>
    </row>
    <row r="271" spans="22:25">
      <c r="V271" s="4" t="s">
        <v>937</v>
      </c>
      <c r="W271" t="s">
        <v>35</v>
      </c>
      <c r="X271" s="31">
        <v>51620000</v>
      </c>
      <c r="Y271" s="34">
        <f t="shared" si="4"/>
        <v>51.62</v>
      </c>
    </row>
    <row r="272" spans="22:25">
      <c r="V272" s="4" t="s">
        <v>938</v>
      </c>
      <c r="W272" t="s">
        <v>18</v>
      </c>
      <c r="X272" s="31">
        <v>28310000</v>
      </c>
      <c r="Y272" s="34">
        <f t="shared" si="4"/>
        <v>28.31</v>
      </c>
    </row>
    <row r="273" spans="22:25">
      <c r="V273" s="4" t="s">
        <v>939</v>
      </c>
      <c r="W273" t="s">
        <v>15</v>
      </c>
      <c r="X273" s="31">
        <v>28350000</v>
      </c>
      <c r="Y273" s="34">
        <f t="shared" si="4"/>
        <v>28.35</v>
      </c>
    </row>
    <row r="274" spans="22:25">
      <c r="V274" s="4" t="s">
        <v>940</v>
      </c>
      <c r="W274" t="s">
        <v>12</v>
      </c>
      <c r="X274" s="31">
        <v>33000000</v>
      </c>
      <c r="Y274" s="34">
        <f t="shared" si="4"/>
        <v>33</v>
      </c>
    </row>
    <row r="275" spans="22:25">
      <c r="V275" s="4" t="s">
        <v>941</v>
      </c>
      <c r="W275" t="s">
        <v>24</v>
      </c>
      <c r="X275" s="31">
        <v>16560000</v>
      </c>
      <c r="Y275" s="34">
        <f t="shared" si="4"/>
        <v>16.559999999999999</v>
      </c>
    </row>
    <row r="276" spans="22:25">
      <c r="V276" s="4" t="s">
        <v>942</v>
      </c>
      <c r="W276" t="s">
        <v>27</v>
      </c>
      <c r="X276" s="31">
        <v>17940000</v>
      </c>
      <c r="Y276" s="34">
        <f t="shared" si="4"/>
        <v>17.940000000000001</v>
      </c>
    </row>
    <row r="277" spans="22:25">
      <c r="V277" s="4" t="s">
        <v>943</v>
      </c>
      <c r="W277" t="s">
        <v>21</v>
      </c>
      <c r="X277" s="31">
        <v>31790000</v>
      </c>
      <c r="Y277" s="34">
        <f t="shared" si="4"/>
        <v>31.79</v>
      </c>
    </row>
    <row r="278" spans="22:25">
      <c r="V278" s="4" t="s">
        <v>944</v>
      </c>
      <c r="W278" t="s">
        <v>35</v>
      </c>
      <c r="X278" s="31">
        <v>52490000</v>
      </c>
      <c r="Y278" s="34">
        <f t="shared" si="4"/>
        <v>52.49</v>
      </c>
    </row>
    <row r="279" spans="22:25">
      <c r="V279" s="4" t="s">
        <v>945</v>
      </c>
      <c r="W279" t="s">
        <v>8</v>
      </c>
      <c r="X279" s="31">
        <v>34250000</v>
      </c>
      <c r="Y279" s="34">
        <f t="shared" si="4"/>
        <v>34.25</v>
      </c>
    </row>
    <row r="280" spans="22:25">
      <c r="V280" s="4" t="s">
        <v>946</v>
      </c>
      <c r="W280" t="s">
        <v>18</v>
      </c>
      <c r="X280" s="31">
        <v>18905000</v>
      </c>
      <c r="Y280" s="34">
        <f t="shared" si="4"/>
        <v>18.905000000000001</v>
      </c>
    </row>
    <row r="281" spans="22:25">
      <c r="V281" s="4" t="s">
        <v>947</v>
      </c>
      <c r="W281" t="s">
        <v>29</v>
      </c>
      <c r="X281" s="31">
        <v>25925000</v>
      </c>
      <c r="Y281" s="34">
        <f t="shared" si="4"/>
        <v>25.925000000000001</v>
      </c>
    </row>
    <row r="282" spans="22:25">
      <c r="V282" s="4" t="s">
        <v>948</v>
      </c>
      <c r="W282" t="s">
        <v>15</v>
      </c>
      <c r="X282" s="31">
        <v>33480000</v>
      </c>
      <c r="Y282" s="34">
        <f t="shared" si="4"/>
        <v>33.479999999999997</v>
      </c>
    </row>
    <row r="283" spans="22:25">
      <c r="V283" s="4" t="s">
        <v>949</v>
      </c>
      <c r="W283" t="s">
        <v>33</v>
      </c>
      <c r="X283" s="31">
        <v>17535000</v>
      </c>
      <c r="Y283" s="34">
        <f t="shared" si="4"/>
        <v>17.535</v>
      </c>
    </row>
    <row r="284" spans="22:25">
      <c r="V284" s="4" t="s">
        <v>950</v>
      </c>
      <c r="W284" t="s">
        <v>31</v>
      </c>
      <c r="X284" s="31">
        <v>26760000</v>
      </c>
      <c r="Y284" s="34">
        <f t="shared" si="4"/>
        <v>26.76</v>
      </c>
    </row>
    <row r="285" spans="22:25">
      <c r="V285" s="4" t="s">
        <v>951</v>
      </c>
      <c r="W285" t="s">
        <v>24</v>
      </c>
      <c r="X285" s="31">
        <v>25830000</v>
      </c>
      <c r="Y285" s="34">
        <f t="shared" si="4"/>
        <v>25.83</v>
      </c>
    </row>
    <row r="286" spans="22:25">
      <c r="V286" s="4" t="s">
        <v>952</v>
      </c>
      <c r="W286" t="s">
        <v>8</v>
      </c>
      <c r="X286" s="31">
        <v>39000000</v>
      </c>
      <c r="Y286" s="34">
        <f t="shared" si="4"/>
        <v>39</v>
      </c>
    </row>
    <row r="287" spans="22:25">
      <c r="V287" s="4" t="s">
        <v>953</v>
      </c>
      <c r="W287" t="s">
        <v>8</v>
      </c>
      <c r="X287" s="31">
        <v>23125000</v>
      </c>
      <c r="Y287" s="34">
        <f t="shared" si="4"/>
        <v>23.125</v>
      </c>
    </row>
    <row r="288" spans="22:25">
      <c r="V288" s="4" t="s">
        <v>954</v>
      </c>
      <c r="W288" t="s">
        <v>12</v>
      </c>
      <c r="X288" s="31">
        <v>29500000</v>
      </c>
      <c r="Y288" s="34">
        <f t="shared" si="4"/>
        <v>29.5</v>
      </c>
    </row>
    <row r="289" spans="22:25">
      <c r="V289" s="4" t="s">
        <v>955</v>
      </c>
      <c r="W289" t="s">
        <v>15</v>
      </c>
      <c r="X289" s="31">
        <v>28350000</v>
      </c>
      <c r="Y289" s="34">
        <f t="shared" si="4"/>
        <v>28.35</v>
      </c>
    </row>
    <row r="290" spans="22:25">
      <c r="V290" s="4" t="s">
        <v>956</v>
      </c>
      <c r="W290" t="s">
        <v>18</v>
      </c>
      <c r="X290" s="31">
        <v>16530000</v>
      </c>
      <c r="Y290" s="34">
        <f t="shared" si="4"/>
        <v>16.53</v>
      </c>
    </row>
    <row r="291" spans="22:25">
      <c r="V291" s="4" t="s">
        <v>957</v>
      </c>
      <c r="W291" t="s">
        <v>21</v>
      </c>
      <c r="X291" s="31">
        <v>28600000</v>
      </c>
      <c r="Y291" s="34">
        <f t="shared" si="4"/>
        <v>28.6</v>
      </c>
    </row>
    <row r="292" spans="22:25">
      <c r="V292" s="4" t="s">
        <v>958</v>
      </c>
      <c r="W292" t="s">
        <v>24</v>
      </c>
      <c r="X292" s="31">
        <v>29250000</v>
      </c>
      <c r="Y292" s="34">
        <f t="shared" si="4"/>
        <v>29.25</v>
      </c>
    </row>
    <row r="293" spans="22:25">
      <c r="V293" s="4" t="s">
        <v>959</v>
      </c>
      <c r="W293" t="s">
        <v>27</v>
      </c>
      <c r="X293" s="31">
        <v>17020000</v>
      </c>
      <c r="Y293" s="34">
        <f t="shared" si="4"/>
        <v>17.02</v>
      </c>
    </row>
    <row r="294" spans="22:25">
      <c r="V294" s="4" t="s">
        <v>960</v>
      </c>
      <c r="W294" t="s">
        <v>29</v>
      </c>
      <c r="X294" s="31">
        <v>17850000</v>
      </c>
      <c r="Y294" s="34">
        <f t="shared" si="4"/>
        <v>17.850000000000001</v>
      </c>
    </row>
    <row r="295" spans="22:25">
      <c r="V295" s="4" t="s">
        <v>961</v>
      </c>
      <c r="W295" t="s">
        <v>8</v>
      </c>
      <c r="X295" s="31">
        <v>41500000</v>
      </c>
      <c r="Y295" s="34">
        <f t="shared" si="4"/>
        <v>41.5</v>
      </c>
    </row>
    <row r="296" spans="22:25">
      <c r="V296" s="4" t="s">
        <v>962</v>
      </c>
      <c r="W296" t="s">
        <v>31</v>
      </c>
      <c r="X296" s="31">
        <v>30600000</v>
      </c>
      <c r="Y296" s="34">
        <f t="shared" si="4"/>
        <v>30.6</v>
      </c>
    </row>
    <row r="297" spans="22:25">
      <c r="V297" s="4" t="s">
        <v>963</v>
      </c>
      <c r="W297" t="s">
        <v>18</v>
      </c>
      <c r="X297" s="31">
        <v>35910000</v>
      </c>
      <c r="Y297" s="34">
        <f t="shared" si="4"/>
        <v>35.909999999999997</v>
      </c>
    </row>
    <row r="298" spans="22:25">
      <c r="V298" s="4" t="s">
        <v>964</v>
      </c>
      <c r="W298" t="s">
        <v>35</v>
      </c>
      <c r="X298" s="31">
        <v>45675000</v>
      </c>
      <c r="Y298" s="34">
        <f t="shared" si="4"/>
        <v>45.674999999999997</v>
      </c>
    </row>
    <row r="299" spans="22:25">
      <c r="V299" s="4" t="s">
        <v>965</v>
      </c>
      <c r="W299" t="s">
        <v>12</v>
      </c>
      <c r="X299" s="31">
        <v>28900000</v>
      </c>
      <c r="Y299" s="34">
        <f t="shared" si="4"/>
        <v>28.9</v>
      </c>
    </row>
    <row r="300" spans="22:25">
      <c r="V300" s="4" t="s">
        <v>966</v>
      </c>
      <c r="W300" t="s">
        <v>15</v>
      </c>
      <c r="X300" s="31">
        <v>26190000</v>
      </c>
      <c r="Y300" s="34">
        <f t="shared" si="4"/>
        <v>26.19</v>
      </c>
    </row>
    <row r="301" spans="22:25">
      <c r="V301" s="4" t="s">
        <v>967</v>
      </c>
      <c r="W301" t="s">
        <v>8</v>
      </c>
      <c r="X301" s="31">
        <v>43750000</v>
      </c>
      <c r="Y301" s="34">
        <f t="shared" si="4"/>
        <v>43.75</v>
      </c>
    </row>
    <row r="302" spans="22:25">
      <c r="V302" s="4" t="s">
        <v>968</v>
      </c>
      <c r="W302" t="s">
        <v>29</v>
      </c>
      <c r="X302" s="31">
        <v>19125000</v>
      </c>
      <c r="Y302" s="34">
        <f t="shared" si="4"/>
        <v>19.125</v>
      </c>
    </row>
    <row r="303" spans="22:25">
      <c r="V303" s="4" t="s">
        <v>969</v>
      </c>
      <c r="W303" t="s">
        <v>21</v>
      </c>
      <c r="X303" s="31">
        <v>30030000</v>
      </c>
      <c r="Y303" s="34">
        <f t="shared" si="4"/>
        <v>30.03</v>
      </c>
    </row>
    <row r="304" spans="22:25">
      <c r="V304" s="4" t="s">
        <v>970</v>
      </c>
      <c r="W304" t="s">
        <v>27</v>
      </c>
      <c r="X304" s="31">
        <v>18975000</v>
      </c>
      <c r="Y304" s="34">
        <f t="shared" si="4"/>
        <v>18.975000000000001</v>
      </c>
    </row>
    <row r="305" spans="22:25">
      <c r="V305" s="4" t="s">
        <v>971</v>
      </c>
      <c r="W305" t="s">
        <v>24</v>
      </c>
      <c r="X305" s="31">
        <v>27720000</v>
      </c>
      <c r="Y305" s="34">
        <f t="shared" si="4"/>
        <v>27.72</v>
      </c>
    </row>
    <row r="306" spans="22:25">
      <c r="V306" s="4" t="s">
        <v>972</v>
      </c>
      <c r="W306" t="s">
        <v>31</v>
      </c>
      <c r="X306" s="31">
        <v>29040000</v>
      </c>
      <c r="Y306" s="34">
        <f t="shared" si="4"/>
        <v>29.04</v>
      </c>
    </row>
    <row r="307" spans="22:25">
      <c r="V307" s="4" t="s">
        <v>973</v>
      </c>
      <c r="W307" t="s">
        <v>35</v>
      </c>
      <c r="X307" s="31">
        <v>48430000</v>
      </c>
      <c r="Y307" s="34">
        <f t="shared" si="4"/>
        <v>48.43</v>
      </c>
    </row>
    <row r="308" spans="22:25">
      <c r="V308" s="4" t="s">
        <v>974</v>
      </c>
      <c r="W308" t="s">
        <v>18</v>
      </c>
      <c r="X308" s="31">
        <v>27265000</v>
      </c>
      <c r="Y308" s="34">
        <f t="shared" si="4"/>
        <v>27.265000000000001</v>
      </c>
    </row>
    <row r="309" spans="22:25">
      <c r="V309" s="4" t="s">
        <v>975</v>
      </c>
      <c r="W309" t="s">
        <v>8</v>
      </c>
      <c r="X309" s="31">
        <v>45250000</v>
      </c>
      <c r="Y309" s="34">
        <f t="shared" si="4"/>
        <v>45.25</v>
      </c>
    </row>
    <row r="310" spans="22:25">
      <c r="V310" s="4" t="s">
        <v>976</v>
      </c>
      <c r="W310" t="s">
        <v>15</v>
      </c>
      <c r="X310" s="31">
        <v>28080000</v>
      </c>
      <c r="Y310" s="34">
        <f t="shared" si="4"/>
        <v>28.08</v>
      </c>
    </row>
    <row r="311" spans="22:25">
      <c r="V311" s="4" t="s">
        <v>977</v>
      </c>
      <c r="W311" t="s">
        <v>29</v>
      </c>
      <c r="X311" s="31">
        <v>19635000</v>
      </c>
      <c r="Y311" s="34">
        <f t="shared" si="4"/>
        <v>19.635000000000002</v>
      </c>
    </row>
    <row r="312" spans="22:25">
      <c r="V312" s="4" t="s">
        <v>978</v>
      </c>
      <c r="W312" t="s">
        <v>12</v>
      </c>
      <c r="X312" s="31">
        <v>29800000</v>
      </c>
      <c r="Y312" s="34">
        <f t="shared" si="4"/>
        <v>29.8</v>
      </c>
    </row>
    <row r="313" spans="22:25">
      <c r="V313" s="4" t="s">
        <v>979</v>
      </c>
      <c r="W313" t="s">
        <v>21</v>
      </c>
      <c r="X313" s="31">
        <v>30250000</v>
      </c>
      <c r="Y313" s="34">
        <f t="shared" si="4"/>
        <v>30.25</v>
      </c>
    </row>
  </sheetData>
  <pageMargins left="0.7" right="0.7" top="0.75" bottom="0.75" header="0.3" footer="0.3"/>
  <pageSetup paperSize="9" orientation="portrait" horizontalDpi="0" verticalDpi="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Dahsboard</vt:lpstr>
      <vt:lpstr>Master Kode</vt:lpstr>
      <vt:lpstr>Purchase Order</vt:lpstr>
      <vt:lpstr>Delivery Order</vt:lpstr>
      <vt:lpstr>Invoice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irsyad rafi</dc:creator>
  <cp:lastModifiedBy>irsyad rafi</cp:lastModifiedBy>
  <dcterms:created xsi:type="dcterms:W3CDTF">2026-03-08T14:51:24Z</dcterms:created>
  <dcterms:modified xsi:type="dcterms:W3CDTF">2026-03-09T03:21:08Z</dcterms:modified>
</cp:coreProperties>
</file>